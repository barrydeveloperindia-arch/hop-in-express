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Foundation Of Anand Sir\Wilmer Groups\PROJECTS\HOP-IN-EXPRESS\Time Sheet\"/>
    </mc:Choice>
  </mc:AlternateContent>
  <xr:revisionPtr revIDLastSave="0" documentId="13_ncr:1_{53E6851D-7C12-4EDA-B31B-E8B81642DECA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Parth" sheetId="2" r:id="rId1"/>
    <sheet name="Paras" sheetId="4" r:id="rId2"/>
    <sheet name="Salil" sheetId="8" r:id="rId3"/>
    <sheet name="Smit" sheetId="5" r:id="rId4"/>
    <sheet name="Harsh" sheetId="6" r:id="rId5"/>
    <sheet name="Nayan" sheetId="7" r:id="rId6"/>
    <sheet name="Nisha" sheetId="9" r:id="rId7"/>
  </sheets>
  <definedNames>
    <definedName name="_xlnm.Print_Area" localSheetId="4">Harsh!$B$3:$O$119</definedName>
    <definedName name="_xlnm.Print_Area" localSheetId="5">Nayan!$B$3:$O$45</definedName>
    <definedName name="_xlnm.Print_Area" localSheetId="6">Nisha!$B$3:$O$59</definedName>
    <definedName name="_xlnm.Print_Area" localSheetId="1">Paras!$B$3:$O$30</definedName>
    <definedName name="_xlnm.Print_Area" localSheetId="0">Parth!$B$3:$O$36</definedName>
    <definedName name="_xlnm.Print_Area" localSheetId="2">Salil!$B$3:$O$34</definedName>
    <definedName name="_xlnm.Print_Area" localSheetId="3">Smit!$B$3:$O$82</definedName>
  </definedNames>
  <calcPr calcId="181029"/>
</workbook>
</file>

<file path=xl/calcChain.xml><?xml version="1.0" encoding="utf-8"?>
<calcChain xmlns="http://schemas.openxmlformats.org/spreadsheetml/2006/main">
  <c r="Q53" i="9" l="1"/>
  <c r="Q54" i="9" s="1"/>
  <c r="P53" i="9"/>
  <c r="O24" i="9"/>
  <c r="N24" i="9"/>
  <c r="F56" i="9"/>
  <c r="F57" i="9" s="1"/>
  <c r="E56" i="9"/>
  <c r="O54" i="9"/>
  <c r="N54" i="9"/>
  <c r="O49" i="9"/>
  <c r="N49" i="9"/>
  <c r="O44" i="9"/>
  <c r="N44" i="9"/>
  <c r="O39" i="9"/>
  <c r="N39" i="9"/>
  <c r="N34" i="9"/>
  <c r="O34" i="9"/>
  <c r="N29" i="9"/>
  <c r="O29" i="9"/>
  <c r="N19" i="9"/>
  <c r="O19" i="9"/>
  <c r="O14" i="9"/>
  <c r="N14" i="9"/>
  <c r="E6" i="8"/>
  <c r="Q29" i="8"/>
  <c r="Q30" i="8" s="1"/>
  <c r="P29" i="8"/>
  <c r="O15" i="8"/>
  <c r="N15" i="8"/>
  <c r="O14" i="8"/>
  <c r="N14" i="8"/>
  <c r="F32" i="8"/>
  <c r="F33" i="8" s="1"/>
  <c r="E32" i="8"/>
  <c r="O30" i="8"/>
  <c r="N30" i="8"/>
  <c r="O25" i="8"/>
  <c r="N25" i="8"/>
  <c r="O20" i="8"/>
  <c r="N20" i="8"/>
  <c r="Q23" i="4"/>
  <c r="Q24" i="4" s="1"/>
  <c r="P23" i="4"/>
  <c r="F26" i="4"/>
  <c r="F27" i="4" s="1"/>
  <c r="F28" i="4" s="1"/>
  <c r="E26" i="4"/>
  <c r="O24" i="4"/>
  <c r="N24" i="4"/>
  <c r="O19" i="4"/>
  <c r="N19" i="4"/>
  <c r="O14" i="4"/>
  <c r="N14" i="4"/>
  <c r="E6" i="2"/>
  <c r="Q28" i="2"/>
  <c r="Q29" i="2" s="1"/>
  <c r="P28" i="2"/>
  <c r="N29" i="2"/>
  <c r="O29" i="2"/>
  <c r="E31" i="2"/>
  <c r="F33" i="2" s="1"/>
  <c r="F31" i="2"/>
  <c r="F32" i="2"/>
  <c r="O24" i="2"/>
  <c r="N24" i="2"/>
  <c r="O19" i="2"/>
  <c r="N19" i="2"/>
  <c r="E6" i="7"/>
  <c r="E7" i="7"/>
  <c r="Q43" i="7"/>
  <c r="Q44" i="7" s="1"/>
  <c r="P43" i="7"/>
  <c r="N44" i="7"/>
  <c r="O44" i="7"/>
  <c r="E46" i="7"/>
  <c r="F46" i="7"/>
  <c r="F47" i="7" s="1"/>
  <c r="F48" i="7" s="1"/>
  <c r="N39" i="7"/>
  <c r="O39" i="7"/>
  <c r="N34" i="7"/>
  <c r="O34" i="7"/>
  <c r="N29" i="7"/>
  <c r="O29" i="7"/>
  <c r="O92" i="6"/>
  <c r="N92" i="6"/>
  <c r="O87" i="6"/>
  <c r="N87" i="6"/>
  <c r="O82" i="6"/>
  <c r="N82" i="6"/>
  <c r="E109" i="6"/>
  <c r="F109" i="6"/>
  <c r="F110" i="6" s="1"/>
  <c r="F111" i="6" s="1"/>
  <c r="O76" i="6"/>
  <c r="N76" i="6"/>
  <c r="O71" i="6"/>
  <c r="N71" i="6"/>
  <c r="O66" i="6"/>
  <c r="N66" i="6"/>
  <c r="O61" i="6"/>
  <c r="N61" i="6"/>
  <c r="N97" i="6"/>
  <c r="O97" i="6"/>
  <c r="N102" i="6"/>
  <c r="O102" i="6"/>
  <c r="N107" i="6"/>
  <c r="O107" i="6"/>
  <c r="P71" i="6"/>
  <c r="Q71" i="6"/>
  <c r="Q72" i="6" s="1"/>
  <c r="Q73" i="6" s="1"/>
  <c r="Q66" i="5"/>
  <c r="Q67" i="5" s="1"/>
  <c r="Q68" i="5" s="1"/>
  <c r="P66" i="5"/>
  <c r="F69" i="5"/>
  <c r="E69" i="5"/>
  <c r="N62" i="5"/>
  <c r="O62" i="5"/>
  <c r="N67" i="5"/>
  <c r="O67" i="5"/>
  <c r="F70" i="5"/>
  <c r="N14" i="2"/>
  <c r="O14" i="2"/>
  <c r="N24" i="7"/>
  <c r="O24" i="7"/>
  <c r="N19" i="7"/>
  <c r="O19" i="7"/>
  <c r="N14" i="7"/>
  <c r="O14" i="7"/>
  <c r="Q55" i="6"/>
  <c r="Q56" i="6" s="1"/>
  <c r="P55" i="6"/>
  <c r="N56" i="6"/>
  <c r="O56" i="6"/>
  <c r="Q55" i="5"/>
  <c r="Q56" i="5" s="1"/>
  <c r="P55" i="5"/>
  <c r="N56" i="5"/>
  <c r="O56" i="5"/>
  <c r="N51" i="5"/>
  <c r="O51" i="5"/>
  <c r="N46" i="5"/>
  <c r="O46" i="5"/>
  <c r="N51" i="6"/>
  <c r="O51" i="6"/>
  <c r="N46" i="6"/>
  <c r="O46" i="6"/>
  <c r="Q39" i="6"/>
  <c r="Q40" i="6" s="1"/>
  <c r="P39" i="6"/>
  <c r="N40" i="6"/>
  <c r="O40" i="6"/>
  <c r="N35" i="6"/>
  <c r="O35" i="6"/>
  <c r="N30" i="6"/>
  <c r="O30" i="6"/>
  <c r="N41" i="5"/>
  <c r="O41" i="5"/>
  <c r="N36" i="5"/>
  <c r="O36" i="5"/>
  <c r="Q28" i="5"/>
  <c r="P28" i="5"/>
  <c r="Q29" i="5"/>
  <c r="N30" i="5"/>
  <c r="O30" i="5"/>
  <c r="N25" i="5"/>
  <c r="O25" i="5"/>
  <c r="O25" i="6"/>
  <c r="N25" i="6"/>
  <c r="O20" i="6"/>
  <c r="N20" i="6"/>
  <c r="O15" i="6"/>
  <c r="N15" i="6"/>
  <c r="N20" i="5"/>
  <c r="O20" i="5"/>
  <c r="O15" i="5"/>
  <c r="N15" i="5"/>
  <c r="F58" i="9" l="1"/>
  <c r="Q55" i="9"/>
  <c r="E6" i="9" s="1"/>
  <c r="E7" i="9" s="1"/>
  <c r="F34" i="8"/>
  <c r="Q31" i="8"/>
  <c r="E7" i="8"/>
  <c r="Q25" i="4"/>
  <c r="E6" i="4" s="1"/>
  <c r="E7" i="4" s="1"/>
  <c r="Q30" i="2"/>
  <c r="Q45" i="7"/>
  <c r="E7" i="2"/>
  <c r="F71" i="5"/>
  <c r="Q57" i="6"/>
  <c r="E7" i="6" s="1"/>
  <c r="Q57" i="5"/>
  <c r="E7" i="5" s="1"/>
  <c r="Q41" i="6"/>
  <c r="E6" i="6" s="1"/>
  <c r="Q30" i="5"/>
  <c r="E6" i="5" s="1"/>
  <c r="E8" i="5" l="1"/>
  <c r="E8" i="6"/>
</calcChain>
</file>

<file path=xl/sharedStrings.xml><?xml version="1.0" encoding="utf-8"?>
<sst xmlns="http://schemas.openxmlformats.org/spreadsheetml/2006/main" count="1762" uniqueCount="62">
  <si>
    <t>Parth</t>
  </si>
  <si>
    <t>DATE</t>
  </si>
  <si>
    <t>NAME</t>
  </si>
  <si>
    <t>PROJECT NO.</t>
  </si>
  <si>
    <t xml:space="preserve">TIME SPENT </t>
  </si>
  <si>
    <t>WORK DONE TODAY</t>
  </si>
  <si>
    <t>INPUTS REQUIRED FROM CLIENTS</t>
  </si>
  <si>
    <t>FOLLOW UP/REMARKS</t>
  </si>
  <si>
    <t>STATUS</t>
  </si>
  <si>
    <t>TIME IN</t>
  </si>
  <si>
    <t>TIME OUT</t>
  </si>
  <si>
    <t>DAY</t>
  </si>
  <si>
    <t>OT</t>
  </si>
  <si>
    <t>WORKING HOUR</t>
  </si>
  <si>
    <t>HOURS</t>
  </si>
  <si>
    <t>MINUTES</t>
  </si>
  <si>
    <t>NIL</t>
  </si>
  <si>
    <t>Working</t>
  </si>
  <si>
    <t>Tuesday</t>
  </si>
  <si>
    <t xml:space="preserve"> </t>
  </si>
  <si>
    <t>BREAK/TEA</t>
  </si>
  <si>
    <t>Total hour</t>
  </si>
  <si>
    <t>Saturday</t>
  </si>
  <si>
    <t>Sunday</t>
  </si>
  <si>
    <t>Monday</t>
  </si>
  <si>
    <t>Parth Time Sheet</t>
  </si>
  <si>
    <t>NO DETAILS</t>
  </si>
  <si>
    <t>Wednesday</t>
  </si>
  <si>
    <t>Thursday</t>
  </si>
  <si>
    <t>Friday</t>
  </si>
  <si>
    <t>Total Working Hours:-</t>
  </si>
  <si>
    <t>Paras Time Sheet</t>
  </si>
  <si>
    <t>Paras</t>
  </si>
  <si>
    <t>Smit Time Sheet</t>
  </si>
  <si>
    <t>Smit</t>
  </si>
  <si>
    <t>Harsh Time Sheet</t>
  </si>
  <si>
    <t>Harsh</t>
  </si>
  <si>
    <t>OCT_2025</t>
  </si>
  <si>
    <t>HOP-IN-EXPRESS</t>
  </si>
  <si>
    <t>Nov_2025</t>
  </si>
  <si>
    <t>Oct Working Hours:-</t>
  </si>
  <si>
    <t>Nov. Working Hours:-</t>
  </si>
  <si>
    <t>Project:</t>
  </si>
  <si>
    <t>Hop-In-Express</t>
  </si>
  <si>
    <t>WILMER RETAIL</t>
  </si>
  <si>
    <t>Oct_2025</t>
  </si>
  <si>
    <t>Dec. Working Hours:-</t>
  </si>
  <si>
    <t>Dec_2025</t>
  </si>
  <si>
    <t>Salil Anand Time Sheet</t>
  </si>
  <si>
    <t>Salil</t>
  </si>
  <si>
    <t>HARSH</t>
  </si>
  <si>
    <t>Nayan</t>
  </si>
  <si>
    <t>Nayan Time Sheet</t>
  </si>
  <si>
    <t>Salil Time Sheet</t>
  </si>
  <si>
    <t>January_2026</t>
  </si>
  <si>
    <t>Jan Working Hours:-</t>
  </si>
  <si>
    <t>Jan. Working Hours:-</t>
  </si>
  <si>
    <t>.</t>
  </si>
  <si>
    <t>`</t>
  </si>
  <si>
    <t>Nisha Time Sheet</t>
  </si>
  <si>
    <t>Nisha</t>
  </si>
  <si>
    <t>Nisha  Time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</si>
</sst>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/mmm/yyyy;@"/>
    <numFmt numFmtId="165" formatCode="[$-409]d/mmm/yy;@"/>
    <numFmt numFmtId="166" formatCode="[$-409]mmmm\ d\,\ yyyy;@"/>
    <numFmt numFmtId="167" formatCode="yyyy/mm/dd;@"/>
    <numFmt numFmtId="168" formatCode="[$-10409]hh:mm:ss\ AM/PM;@"/>
    <numFmt numFmtId="169" formatCode="[$-F400]h:mm:ss\ AM/PM"/>
    <numFmt numFmtId="170" formatCode="[$-409]h:mm\ AM/PM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mbria"/>
      <family val="1"/>
      <scheme val="major"/>
    </font>
    <font>
      <sz val="48"/>
      <color theme="1"/>
      <name val="Calibri"/>
      <family val="2"/>
      <scheme val="minor"/>
    </font>
    <font>
      <sz val="16"/>
      <name val="Cambria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03">
    <xf numFmtId="0" fontId="0" fillId="0" borderId="0" xfId="0"/>
    <xf numFmtId="164" fontId="4" fillId="2" borderId="4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167" fontId="5" fillId="0" borderId="1" xfId="0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170" fontId="5" fillId="0" borderId="0" xfId="0" applyNumberFormat="1" applyFont="1"/>
    <xf numFmtId="0" fontId="6" fillId="2" borderId="1" xfId="0" applyFont="1" applyFill="1" applyBorder="1"/>
    <xf numFmtId="168" fontId="7" fillId="0" borderId="1" xfId="0" applyNumberFormat="1" applyFon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164" fontId="4" fillId="2" borderId="15" xfId="0" applyNumberFormat="1" applyFont="1" applyFill="1" applyBorder="1" applyAlignment="1">
      <alignment vertical="center" wrapText="1"/>
    </xf>
    <xf numFmtId="166" fontId="5" fillId="0" borderId="20" xfId="0" applyNumberFormat="1" applyFont="1" applyBorder="1" applyAlignment="1">
      <alignment horizontal="center" vertical="center" wrapText="1"/>
    </xf>
    <xf numFmtId="169" fontId="2" fillId="0" borderId="21" xfId="0" applyNumberFormat="1" applyFont="1" applyBorder="1" applyAlignment="1">
      <alignment horizontal="center" vertical="center" wrapText="1"/>
    </xf>
    <xf numFmtId="167" fontId="5" fillId="0" borderId="22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5" fillId="4" borderId="22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horizontal="center" vertical="center" wrapText="1"/>
    </xf>
    <xf numFmtId="168" fontId="7" fillId="0" borderId="22" xfId="0" applyNumberFormat="1" applyFont="1" applyBorder="1" applyAlignment="1">
      <alignment horizontal="center" vertical="center" wrapText="1"/>
    </xf>
    <xf numFmtId="167" fontId="2" fillId="0" borderId="22" xfId="0" applyNumberFormat="1" applyFont="1" applyBorder="1" applyAlignment="1">
      <alignment horizontal="center" vertical="center" wrapText="1"/>
    </xf>
    <xf numFmtId="169" fontId="2" fillId="0" borderId="22" xfId="0" applyNumberFormat="1" applyFont="1" applyBorder="1" applyAlignment="1">
      <alignment horizontal="center" vertical="center" wrapText="1"/>
    </xf>
    <xf numFmtId="169" fontId="2" fillId="0" borderId="23" xfId="0" applyNumberFormat="1" applyFont="1" applyBorder="1" applyAlignment="1">
      <alignment horizontal="center" vertical="center" wrapText="1"/>
    </xf>
    <xf numFmtId="0" fontId="8" fillId="2" borderId="9" xfId="0" applyFont="1" applyFill="1" applyBorder="1"/>
    <xf numFmtId="0" fontId="8" fillId="2" borderId="11" xfId="0" applyFont="1" applyFill="1" applyBorder="1"/>
    <xf numFmtId="167" fontId="0" fillId="0" borderId="1" xfId="0" applyNumberFormat="1" applyBorder="1" applyAlignment="1">
      <alignment horizontal="center" vertical="center" wrapText="1"/>
    </xf>
    <xf numFmtId="167" fontId="0" fillId="0" borderId="22" xfId="0" applyNumberFormat="1" applyBorder="1" applyAlignment="1">
      <alignment horizontal="center" vertical="center" wrapText="1"/>
    </xf>
    <xf numFmtId="0" fontId="10" fillId="2" borderId="24" xfId="0" applyFont="1" applyFill="1" applyBorder="1"/>
    <xf numFmtId="0" fontId="10" fillId="2" borderId="8" xfId="0" applyFont="1" applyFill="1" applyBorder="1"/>
    <xf numFmtId="0" fontId="10" fillId="2" borderId="12" xfId="0" applyFont="1" applyFill="1" applyBorder="1"/>
    <xf numFmtId="0" fontId="10" fillId="2" borderId="0" xfId="0" applyFont="1" applyFill="1"/>
    <xf numFmtId="0" fontId="10" fillId="2" borderId="25" xfId="0" applyFont="1" applyFill="1" applyBorder="1"/>
    <xf numFmtId="0" fontId="10" fillId="2" borderId="26" xfId="0" applyFont="1" applyFill="1" applyBorder="1"/>
    <xf numFmtId="169" fontId="5" fillId="0" borderId="0" xfId="0" applyNumberFormat="1" applyFont="1"/>
    <xf numFmtId="0" fontId="8" fillId="5" borderId="11" xfId="0" applyFont="1" applyFill="1" applyBorder="1"/>
    <xf numFmtId="0" fontId="8" fillId="7" borderId="11" xfId="0" applyFont="1" applyFill="1" applyBorder="1"/>
    <xf numFmtId="0" fontId="8" fillId="6" borderId="27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0" fillId="0" borderId="0" xfId="0" applyAlignment="1">
      <alignment horizontal="left"/>
    </xf>
    <xf numFmtId="0" fontId="10" fillId="2" borderId="24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left"/>
    </xf>
    <xf numFmtId="0" fontId="10" fillId="2" borderId="25" xfId="0" applyFont="1" applyFill="1" applyBorder="1" applyAlignment="1">
      <alignment horizontal="left"/>
    </xf>
    <xf numFmtId="0" fontId="0" fillId="0" borderId="12" xfId="0" applyBorder="1" applyAlignment="1">
      <alignment horizontal="left"/>
    </xf>
    <xf numFmtId="166" fontId="5" fillId="0" borderId="20" xfId="0" applyNumberFormat="1" applyFont="1" applyBorder="1" applyAlignment="1">
      <alignment horizontal="left" vertical="center" wrapText="1"/>
    </xf>
    <xf numFmtId="165" fontId="5" fillId="0" borderId="0" xfId="0" applyNumberFormat="1" applyFont="1" applyAlignment="1">
      <alignment horizontal="left"/>
    </xf>
    <xf numFmtId="165" fontId="1" fillId="3" borderId="6" xfId="0" applyNumberFormat="1" applyFont="1" applyFill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164" fontId="1" fillId="3" borderId="16" xfId="0" applyNumberFormat="1" applyFont="1" applyFill="1" applyBorder="1" applyAlignment="1">
      <alignment horizontal="center" vertical="center"/>
    </xf>
    <xf numFmtId="164" fontId="1" fillId="3" borderId="1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165" fontId="1" fillId="3" borderId="3" xfId="0" applyNumberFormat="1" applyFont="1" applyFill="1" applyBorder="1" applyAlignment="1">
      <alignment horizontal="center" vertical="center"/>
    </xf>
    <xf numFmtId="165" fontId="1" fillId="3" borderId="5" xfId="0" applyNumberFormat="1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2" fontId="8" fillId="6" borderId="27" xfId="0" applyNumberFormat="1" applyFont="1" applyFill="1" applyBorder="1"/>
    <xf numFmtId="2" fontId="8" fillId="5" borderId="11" xfId="0" applyNumberFormat="1" applyFont="1" applyFill="1" applyBorder="1"/>
    <xf numFmtId="0" fontId="10" fillId="9" borderId="12" xfId="0" applyFont="1" applyFill="1" applyBorder="1"/>
    <xf numFmtId="0" fontId="10" fillId="9" borderId="0" xfId="0" applyFont="1" applyFill="1"/>
    <xf numFmtId="164" fontId="4" fillId="2" borderId="2" xfId="0" applyNumberFormat="1" applyFont="1" applyFill="1" applyBorder="1" applyAlignment="1">
      <alignment vertical="center" wrapText="1"/>
    </xf>
    <xf numFmtId="164" fontId="4" fillId="2" borderId="14" xfId="0" applyNumberFormat="1" applyFont="1" applyFill="1" applyBorder="1" applyAlignment="1">
      <alignment vertical="center"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7" fontId="9" fillId="8" borderId="13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7" fontId="9" fillId="8" borderId="28" xfId="0" applyNumberFormat="1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164" fontId="1" fillId="3" borderId="16" xfId="0" applyNumberFormat="1" applyFont="1" applyFill="1" applyBorder="1" applyAlignment="1">
      <alignment horizontal="center" vertical="center"/>
    </xf>
    <xf numFmtId="164" fontId="1" fillId="3" borderId="18" xfId="0" applyNumberFormat="1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165" fontId="1" fillId="3" borderId="6" xfId="0" applyNumberFormat="1" applyFont="1" applyFill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1" fillId="3" borderId="3" xfId="0" applyNumberFormat="1" applyFont="1" applyFill="1" applyBorder="1" applyAlignment="1">
      <alignment horizontal="center" vertical="center"/>
    </xf>
    <xf numFmtId="165" fontId="1" fillId="3" borderId="5" xfId="0" applyNumberFormat="1" applyFont="1" applyFill="1" applyBorder="1" applyAlignment="1">
      <alignment horizontal="center" vertical="center"/>
    </xf>
    <xf numFmtId="17" fontId="9" fillId="7" borderId="13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17" fontId="9" fillId="7" borderId="2" xfId="0" applyNumberFormat="1" applyFont="1" applyFill="1" applyBorder="1" applyAlignment="1">
      <alignment horizontal="center" vertical="center"/>
    </xf>
    <xf numFmtId="17" fontId="9" fillId="7" borderId="14" xfId="0" applyNumberFormat="1" applyFont="1" applyFill="1" applyBorder="1" applyAlignment="1">
      <alignment horizontal="center" vertical="center"/>
    </xf>
    <xf numFmtId="164" fontId="1" fillId="3" borderId="16" xfId="0" applyNumberFormat="1" applyFont="1" applyFill="1" applyBorder="1" applyAlignment="1">
      <alignment horizontal="left" vertical="center"/>
    </xf>
    <xf numFmtId="164" fontId="1" fillId="3" borderId="18" xfId="0" applyNumberFormat="1" applyFont="1" applyFill="1" applyBorder="1" applyAlignment="1">
      <alignment horizontal="left" vertical="center"/>
    </xf>
    <xf numFmtId="0" fontId="10" fillId="2" borderId="0" xfId="0" applyFont="1" applyFill="1" applyAlignment="1">
      <alignment horizontal="left"/>
    </xf>
  </cellXfs>
  <cellStyles count="2">
    <cellStyle name="Normal" xfId="0" builtinId="0"/>
    <cellStyle name="Normal 3" xfId="1" xr:uid="{CA6F5C22-5CFA-43EF-B5A9-F78F70F87AF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7759-2F86-43AC-9492-2D45A5F6BA59}">
  <sheetPr codeName="Sheet1">
    <tabColor rgb="FFFFFF00"/>
    <pageSetUpPr fitToPage="1"/>
  </sheetPr>
  <dimension ref="B2:Q33"/>
  <sheetViews>
    <sheetView view="pageBreakPreview" topLeftCell="A4" zoomScaleNormal="100" zoomScaleSheetLayoutView="100" workbookViewId="0">
      <selection activeCell="B11" sqref="B11:O15"/>
    </sheetView>
  </sheetViews>
  <sheetFormatPr defaultColWidth="23.5703125" defaultRowHeight="15" x14ac:dyDescent="0.25"/>
  <cols>
    <col min="2" max="2" width="17.5703125" customWidth="1"/>
    <col min="3" max="3" width="8.85546875" customWidth="1"/>
    <col min="4" max="4" width="16.28515625" customWidth="1"/>
    <col min="5" max="5" width="20.42578125" bestFit="1" customWidth="1"/>
    <col min="6" max="6" width="9.28515625" bestFit="1" customWidth="1"/>
    <col min="7" max="7" width="31" customWidth="1"/>
    <col min="8" max="8" width="31" hidden="1" customWidth="1"/>
    <col min="9" max="9" width="21.42578125" hidden="1" customWidth="1"/>
    <col min="10" max="10" width="12.42578125" customWidth="1"/>
    <col min="11" max="11" width="13.28515625" customWidth="1"/>
    <col min="12" max="12" width="14" customWidth="1"/>
    <col min="13" max="13" width="13.7109375" customWidth="1"/>
    <col min="14" max="14" width="8" hidden="1" customWidth="1"/>
    <col min="15" max="15" width="18" customWidth="1"/>
  </cols>
  <sheetData>
    <row r="2" spans="2:15" ht="15.75" thickBot="1" x14ac:dyDescent="0.3"/>
    <row r="3" spans="2:15" ht="20.25" x14ac:dyDescent="0.3">
      <c r="B3" s="35" t="s">
        <v>44</v>
      </c>
      <c r="C3" s="36"/>
      <c r="D3" s="36"/>
      <c r="E3" s="31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2:15" ht="20.25" x14ac:dyDescent="0.3">
      <c r="B4" s="37" t="s">
        <v>42</v>
      </c>
      <c r="C4" s="38" t="s">
        <v>38</v>
      </c>
      <c r="D4" s="38"/>
      <c r="E4" s="32"/>
      <c r="O4" s="18"/>
    </row>
    <row r="5" spans="2:15" ht="20.25" x14ac:dyDescent="0.3">
      <c r="B5" s="69" t="s">
        <v>25</v>
      </c>
      <c r="C5" s="70"/>
      <c r="D5" s="38"/>
      <c r="E5" s="32"/>
      <c r="O5" s="18"/>
    </row>
    <row r="6" spans="2:15" ht="20.25" x14ac:dyDescent="0.3">
      <c r="B6" s="37" t="s">
        <v>56</v>
      </c>
      <c r="C6" s="38"/>
      <c r="D6" s="38"/>
      <c r="E6" s="68">
        <f>Q30</f>
        <v>15.5</v>
      </c>
      <c r="J6" t="s">
        <v>58</v>
      </c>
      <c r="O6" s="18"/>
    </row>
    <row r="7" spans="2:15" ht="21" thickBot="1" x14ac:dyDescent="0.35">
      <c r="B7" s="39" t="s">
        <v>30</v>
      </c>
      <c r="C7" s="40"/>
      <c r="D7" s="40"/>
      <c r="E7" s="67">
        <f>E6</f>
        <v>15.5</v>
      </c>
      <c r="O7" s="18"/>
    </row>
    <row r="8" spans="2:15" x14ac:dyDescent="0.25">
      <c r="B8" s="19"/>
      <c r="O8" s="18"/>
    </row>
    <row r="9" spans="2:15" x14ac:dyDescent="0.25">
      <c r="B9" s="19"/>
      <c r="O9" s="18"/>
    </row>
    <row r="10" spans="2:15" ht="61.5" x14ac:dyDescent="0.25">
      <c r="B10" s="75" t="s">
        <v>54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7"/>
    </row>
    <row r="11" spans="2:15" ht="15.75" x14ac:dyDescent="0.25">
      <c r="B11" s="73" t="s">
        <v>25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1"/>
      <c r="O11" s="20"/>
    </row>
    <row r="12" spans="2:15" x14ac:dyDescent="0.25">
      <c r="B12" s="56" t="s">
        <v>1</v>
      </c>
      <c r="C12" s="54" t="s">
        <v>2</v>
      </c>
      <c r="D12" s="54" t="s">
        <v>3</v>
      </c>
      <c r="E12" s="62" t="s">
        <v>4</v>
      </c>
      <c r="F12" s="63"/>
      <c r="G12" s="58" t="s">
        <v>5</v>
      </c>
      <c r="H12" s="60" t="s">
        <v>6</v>
      </c>
      <c r="I12" s="58" t="s">
        <v>7</v>
      </c>
      <c r="J12" s="58" t="s">
        <v>8</v>
      </c>
      <c r="K12" s="54" t="s">
        <v>9</v>
      </c>
      <c r="L12" s="54" t="s">
        <v>10</v>
      </c>
      <c r="M12" s="60" t="s">
        <v>11</v>
      </c>
      <c r="N12" s="60" t="s">
        <v>12</v>
      </c>
      <c r="O12" s="64" t="s">
        <v>13</v>
      </c>
    </row>
    <row r="13" spans="2:15" x14ac:dyDescent="0.25">
      <c r="B13" s="57"/>
      <c r="C13" s="55"/>
      <c r="D13" s="55"/>
      <c r="E13" s="2" t="s">
        <v>14</v>
      </c>
      <c r="F13" s="2" t="s">
        <v>15</v>
      </c>
      <c r="G13" s="59"/>
      <c r="H13" s="61"/>
      <c r="I13" s="59"/>
      <c r="J13" s="59"/>
      <c r="K13" s="55"/>
      <c r="L13" s="55"/>
      <c r="M13" s="61"/>
      <c r="N13" s="61"/>
      <c r="O13" s="65"/>
    </row>
    <row r="14" spans="2:15" x14ac:dyDescent="0.25">
      <c r="B14" s="21">
        <v>46357</v>
      </c>
      <c r="C14" s="3" t="s">
        <v>0</v>
      </c>
      <c r="D14" s="4" t="s">
        <v>38</v>
      </c>
      <c r="E14" s="5">
        <v>4</v>
      </c>
      <c r="F14" s="5">
        <v>30</v>
      </c>
      <c r="G14" s="6" t="s">
        <v>26</v>
      </c>
      <c r="H14" s="5" t="s">
        <v>16</v>
      </c>
      <c r="I14" s="5" t="s">
        <v>16</v>
      </c>
      <c r="J14" s="7" t="s">
        <v>17</v>
      </c>
      <c r="K14" s="14">
        <v>9.4166666666666661</v>
      </c>
      <c r="L14" s="14">
        <v>10.604166666666666</v>
      </c>
      <c r="M14" s="33" t="s">
        <v>28</v>
      </c>
      <c r="N14" s="15">
        <f>(L1015-K1015)-TIME(9,0,0)</f>
        <v>-0.375</v>
      </c>
      <c r="O14" s="22">
        <f>L14-K14</f>
        <v>1.1875</v>
      </c>
    </row>
    <row r="15" spans="2:15" ht="15.75" thickBot="1" x14ac:dyDescent="0.3">
      <c r="B15" s="21">
        <v>46357</v>
      </c>
      <c r="C15" s="23" t="s">
        <v>0</v>
      </c>
      <c r="D15" s="4" t="s">
        <v>38</v>
      </c>
      <c r="E15" s="24">
        <v>0</v>
      </c>
      <c r="F15" s="24">
        <v>0</v>
      </c>
      <c r="G15" s="25" t="s">
        <v>20</v>
      </c>
      <c r="H15" s="24" t="s">
        <v>16</v>
      </c>
      <c r="I15" s="24" t="s">
        <v>16</v>
      </c>
      <c r="J15" s="26"/>
      <c r="K15" s="27"/>
      <c r="L15" s="27"/>
      <c r="M15" s="34" t="s">
        <v>19</v>
      </c>
      <c r="N15" s="29"/>
      <c r="O15" s="30"/>
    </row>
    <row r="16" spans="2:15" ht="15.75" customHeight="1" x14ac:dyDescent="0.25">
      <c r="B16" s="73" t="s">
        <v>25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1"/>
      <c r="O16" s="20"/>
    </row>
    <row r="17" spans="2:17" x14ac:dyDescent="0.25">
      <c r="B17" s="56" t="s">
        <v>1</v>
      </c>
      <c r="C17" s="54" t="s">
        <v>2</v>
      </c>
      <c r="D17" s="54" t="s">
        <v>3</v>
      </c>
      <c r="E17" s="62" t="s">
        <v>4</v>
      </c>
      <c r="F17" s="63"/>
      <c r="G17" s="58" t="s">
        <v>5</v>
      </c>
      <c r="H17" s="60" t="s">
        <v>6</v>
      </c>
      <c r="I17" s="58" t="s">
        <v>7</v>
      </c>
      <c r="J17" s="58" t="s">
        <v>8</v>
      </c>
      <c r="K17" s="54" t="s">
        <v>9</v>
      </c>
      <c r="L17" s="54" t="s">
        <v>10</v>
      </c>
      <c r="M17" s="60" t="s">
        <v>11</v>
      </c>
      <c r="N17" s="60" t="s">
        <v>12</v>
      </c>
      <c r="O17" s="64" t="s">
        <v>13</v>
      </c>
    </row>
    <row r="18" spans="2:17" x14ac:dyDescent="0.25">
      <c r="B18" s="57"/>
      <c r="C18" s="55"/>
      <c r="D18" s="55"/>
      <c r="E18" s="2" t="s">
        <v>14</v>
      </c>
      <c r="F18" s="2" t="s">
        <v>15</v>
      </c>
      <c r="G18" s="59"/>
      <c r="H18" s="61"/>
      <c r="I18" s="59"/>
      <c r="J18" s="59"/>
      <c r="K18" s="55"/>
      <c r="L18" s="55"/>
      <c r="M18" s="61"/>
      <c r="N18" s="61"/>
      <c r="O18" s="65"/>
    </row>
    <row r="19" spans="2:17" x14ac:dyDescent="0.25">
      <c r="B19" s="21">
        <v>46358</v>
      </c>
      <c r="C19" s="3" t="s">
        <v>0</v>
      </c>
      <c r="D19" s="4" t="s">
        <v>38</v>
      </c>
      <c r="E19" s="5">
        <v>2</v>
      </c>
      <c r="F19" s="5">
        <v>0</v>
      </c>
      <c r="G19" s="6" t="s">
        <v>26</v>
      </c>
      <c r="H19" s="5" t="s">
        <v>16</v>
      </c>
      <c r="I19" s="5" t="s">
        <v>16</v>
      </c>
      <c r="J19" s="7" t="s">
        <v>17</v>
      </c>
      <c r="K19" s="14">
        <v>9.3333333333333339</v>
      </c>
      <c r="L19" s="14">
        <v>10.416666666666666</v>
      </c>
      <c r="M19" s="33" t="s">
        <v>29</v>
      </c>
      <c r="N19" s="15">
        <f>(L1020-K1020)-TIME(9,0,0)</f>
        <v>-0.375</v>
      </c>
      <c r="O19" s="22">
        <f>L19-K19</f>
        <v>1.0833333333333321</v>
      </c>
    </row>
    <row r="20" spans="2:17" ht="15.75" thickBot="1" x14ac:dyDescent="0.3">
      <c r="B20" s="21">
        <v>46358</v>
      </c>
      <c r="C20" s="23" t="s">
        <v>0</v>
      </c>
      <c r="D20" s="4" t="s">
        <v>38</v>
      </c>
      <c r="E20" s="24">
        <v>0</v>
      </c>
      <c r="F20" s="24">
        <v>0</v>
      </c>
      <c r="G20" s="25" t="s">
        <v>20</v>
      </c>
      <c r="H20" s="24" t="s">
        <v>16</v>
      </c>
      <c r="I20" s="24" t="s">
        <v>16</v>
      </c>
      <c r="J20" s="26"/>
      <c r="K20" s="27" t="s">
        <v>57</v>
      </c>
      <c r="L20" s="27"/>
      <c r="M20" s="34" t="s">
        <v>19</v>
      </c>
      <c r="N20" s="29"/>
      <c r="O20" s="30"/>
    </row>
    <row r="21" spans="2:17" ht="15.75" customHeight="1" x14ac:dyDescent="0.25">
      <c r="B21" s="73" t="s">
        <v>25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1"/>
      <c r="O21" s="20"/>
    </row>
    <row r="22" spans="2:17" x14ac:dyDescent="0.25">
      <c r="B22" s="56" t="s">
        <v>1</v>
      </c>
      <c r="C22" s="54" t="s">
        <v>2</v>
      </c>
      <c r="D22" s="54" t="s">
        <v>3</v>
      </c>
      <c r="E22" s="62" t="s">
        <v>4</v>
      </c>
      <c r="F22" s="63"/>
      <c r="G22" s="58" t="s">
        <v>5</v>
      </c>
      <c r="H22" s="60" t="s">
        <v>6</v>
      </c>
      <c r="I22" s="58" t="s">
        <v>7</v>
      </c>
      <c r="J22" s="58" t="s">
        <v>8</v>
      </c>
      <c r="K22" s="54" t="s">
        <v>9</v>
      </c>
      <c r="L22" s="54" t="s">
        <v>10</v>
      </c>
      <c r="M22" s="60" t="s">
        <v>11</v>
      </c>
      <c r="N22" s="60" t="s">
        <v>12</v>
      </c>
      <c r="O22" s="64" t="s">
        <v>13</v>
      </c>
    </row>
    <row r="23" spans="2:17" x14ac:dyDescent="0.25">
      <c r="B23" s="57"/>
      <c r="C23" s="55"/>
      <c r="D23" s="55"/>
      <c r="E23" s="2" t="s">
        <v>14</v>
      </c>
      <c r="F23" s="2" t="s">
        <v>15</v>
      </c>
      <c r="G23" s="59"/>
      <c r="H23" s="61"/>
      <c r="I23" s="59"/>
      <c r="J23" s="59"/>
      <c r="K23" s="55"/>
      <c r="L23" s="55"/>
      <c r="M23" s="61"/>
      <c r="N23" s="61"/>
      <c r="O23" s="65"/>
    </row>
    <row r="24" spans="2:17" ht="15.75" customHeight="1" x14ac:dyDescent="0.25">
      <c r="B24" s="21">
        <v>46359</v>
      </c>
      <c r="C24" s="3" t="s">
        <v>0</v>
      </c>
      <c r="D24" s="4" t="s">
        <v>38</v>
      </c>
      <c r="E24" s="5">
        <v>4</v>
      </c>
      <c r="F24" s="5">
        <v>0</v>
      </c>
      <c r="G24" s="6" t="s">
        <v>26</v>
      </c>
      <c r="H24" s="5" t="s">
        <v>16</v>
      </c>
      <c r="I24" s="5" t="s">
        <v>16</v>
      </c>
      <c r="J24" s="7" t="s">
        <v>17</v>
      </c>
      <c r="K24" s="14">
        <v>9.3333333333333339</v>
      </c>
      <c r="L24" s="14">
        <v>10.5</v>
      </c>
      <c r="M24" s="33" t="s">
        <v>22</v>
      </c>
      <c r="N24" s="15">
        <f>(L1025-K1025)-TIME(9,0,0)</f>
        <v>-0.375</v>
      </c>
      <c r="O24" s="22">
        <f>L24-K24</f>
        <v>1.1666666666666661</v>
      </c>
    </row>
    <row r="25" spans="2:17" ht="15.75" thickBot="1" x14ac:dyDescent="0.3">
      <c r="B25" s="21">
        <v>46359</v>
      </c>
      <c r="C25" s="23" t="s">
        <v>0</v>
      </c>
      <c r="D25" s="4" t="s">
        <v>38</v>
      </c>
      <c r="E25" s="24">
        <v>0</v>
      </c>
      <c r="F25" s="24">
        <v>0</v>
      </c>
      <c r="G25" s="25" t="s">
        <v>20</v>
      </c>
      <c r="H25" s="24" t="s">
        <v>16</v>
      </c>
      <c r="I25" s="24" t="s">
        <v>16</v>
      </c>
      <c r="J25" s="26"/>
      <c r="K25" s="27"/>
      <c r="L25" s="27"/>
      <c r="M25" s="34" t="s">
        <v>19</v>
      </c>
      <c r="N25" s="29"/>
      <c r="O25" s="30"/>
    </row>
    <row r="26" spans="2:17" ht="15.75" x14ac:dyDescent="0.25">
      <c r="B26" s="73" t="s">
        <v>25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1"/>
      <c r="O26" s="20"/>
    </row>
    <row r="27" spans="2:17" x14ac:dyDescent="0.25">
      <c r="B27" s="56" t="s">
        <v>1</v>
      </c>
      <c r="C27" s="54" t="s">
        <v>2</v>
      </c>
      <c r="D27" s="54" t="s">
        <v>3</v>
      </c>
      <c r="E27" s="62" t="s">
        <v>4</v>
      </c>
      <c r="F27" s="63"/>
      <c r="G27" s="58" t="s">
        <v>5</v>
      </c>
      <c r="H27" s="60" t="s">
        <v>6</v>
      </c>
      <c r="I27" s="58" t="s">
        <v>7</v>
      </c>
      <c r="J27" s="58" t="s">
        <v>8</v>
      </c>
      <c r="K27" s="54" t="s">
        <v>9</v>
      </c>
      <c r="L27" s="54" t="s">
        <v>10</v>
      </c>
      <c r="M27" s="60" t="s">
        <v>11</v>
      </c>
      <c r="N27" s="60" t="s">
        <v>12</v>
      </c>
      <c r="O27" s="64" t="s">
        <v>13</v>
      </c>
      <c r="P27" s="2" t="s">
        <v>14</v>
      </c>
      <c r="Q27" s="2" t="s">
        <v>15</v>
      </c>
    </row>
    <row r="28" spans="2:17" x14ac:dyDescent="0.25">
      <c r="B28" s="57"/>
      <c r="C28" s="55"/>
      <c r="D28" s="55"/>
      <c r="E28" s="2" t="s">
        <v>14</v>
      </c>
      <c r="F28" s="2" t="s">
        <v>15</v>
      </c>
      <c r="G28" s="59"/>
      <c r="H28" s="61"/>
      <c r="I28" s="59"/>
      <c r="J28" s="59"/>
      <c r="K28" s="55"/>
      <c r="L28" s="55"/>
      <c r="M28" s="61"/>
      <c r="N28" s="61"/>
      <c r="O28" s="65"/>
      <c r="P28" s="45">
        <f>SUM(E14:E15,E19:E20,E24:E25,E29:E30)</f>
        <v>15</v>
      </c>
      <c r="Q28" s="45">
        <f>SUM(F14:F15,F19:F20,F24:F25,F29:F30)</f>
        <v>30</v>
      </c>
    </row>
    <row r="29" spans="2:17" x14ac:dyDescent="0.25">
      <c r="B29" s="21">
        <v>46359</v>
      </c>
      <c r="C29" s="3" t="s">
        <v>0</v>
      </c>
      <c r="D29" s="4" t="s">
        <v>38</v>
      </c>
      <c r="E29" s="5">
        <v>5</v>
      </c>
      <c r="F29" s="5">
        <v>0</v>
      </c>
      <c r="G29" s="6" t="s">
        <v>26</v>
      </c>
      <c r="H29" s="5" t="s">
        <v>16</v>
      </c>
      <c r="I29" s="5" t="s">
        <v>16</v>
      </c>
      <c r="J29" s="7" t="s">
        <v>17</v>
      </c>
      <c r="K29" s="14">
        <v>9.625</v>
      </c>
      <c r="L29" s="14">
        <v>10.833333333333334</v>
      </c>
      <c r="M29" s="33" t="s">
        <v>23</v>
      </c>
      <c r="N29" s="15">
        <f>(L1030-K1030)-TIME(9,0,0)</f>
        <v>-0.375</v>
      </c>
      <c r="O29" s="22">
        <f>L29-K29</f>
        <v>1.2083333333333339</v>
      </c>
      <c r="P29" s="46"/>
      <c r="Q29" s="46">
        <f>Q28/60</f>
        <v>0.5</v>
      </c>
    </row>
    <row r="30" spans="2:17" ht="15.75" thickBot="1" x14ac:dyDescent="0.3">
      <c r="B30" s="21">
        <v>46359</v>
      </c>
      <c r="C30" s="23" t="s">
        <v>0</v>
      </c>
      <c r="D30" s="4" t="s">
        <v>38</v>
      </c>
      <c r="E30" s="24">
        <v>0</v>
      </c>
      <c r="F30" s="24">
        <v>0</v>
      </c>
      <c r="G30" s="25" t="s">
        <v>20</v>
      </c>
      <c r="H30" s="24" t="s">
        <v>16</v>
      </c>
      <c r="I30" s="24" t="s">
        <v>16</v>
      </c>
      <c r="J30" s="26"/>
      <c r="K30" s="27"/>
      <c r="L30" s="27"/>
      <c r="M30" s="34" t="s">
        <v>19</v>
      </c>
      <c r="N30" s="29"/>
      <c r="O30" s="30"/>
      <c r="P30" s="13" t="s">
        <v>21</v>
      </c>
      <c r="Q30" s="13">
        <f>P28+Q29</f>
        <v>15.5</v>
      </c>
    </row>
    <row r="31" spans="2:17" x14ac:dyDescent="0.25">
      <c r="B31" s="9" t="s">
        <v>19</v>
      </c>
      <c r="C31" s="8"/>
      <c r="D31" s="9"/>
      <c r="E31" s="10">
        <f>SUM(E29:E30)</f>
        <v>5</v>
      </c>
      <c r="F31" s="10">
        <f>SUM(F29:F30)</f>
        <v>0</v>
      </c>
      <c r="G31" s="11"/>
      <c r="H31" s="11"/>
      <c r="I31" s="11"/>
      <c r="J31" s="11"/>
      <c r="K31" s="12"/>
      <c r="L31" s="12"/>
      <c r="M31" s="9"/>
      <c r="N31" s="9"/>
      <c r="O31" s="9"/>
    </row>
    <row r="32" spans="2:17" x14ac:dyDescent="0.25">
      <c r="B32" s="8"/>
      <c r="C32" s="8"/>
      <c r="D32" s="9"/>
      <c r="E32" s="11"/>
      <c r="F32" s="11">
        <f>F31/60</f>
        <v>0</v>
      </c>
      <c r="G32" s="11"/>
      <c r="H32" s="11"/>
      <c r="I32" s="11"/>
      <c r="J32" s="11"/>
      <c r="K32" s="12"/>
      <c r="L32" s="12"/>
      <c r="M32" s="9"/>
      <c r="N32" s="9"/>
      <c r="O32" s="9"/>
    </row>
    <row r="33" spans="2:15" x14ac:dyDescent="0.25">
      <c r="B33" s="8"/>
      <c r="C33" s="8"/>
      <c r="D33" s="9"/>
      <c r="E33" s="13" t="s">
        <v>21</v>
      </c>
      <c r="F33" s="13">
        <f>E31+F32</f>
        <v>5</v>
      </c>
      <c r="G33" s="11"/>
      <c r="H33" s="11"/>
      <c r="I33" s="11"/>
      <c r="J33" s="11"/>
      <c r="K33" s="12"/>
      <c r="L33" s="12"/>
      <c r="M33" s="9"/>
      <c r="N33" s="9"/>
      <c r="O33" s="41"/>
    </row>
  </sheetData>
  <mergeCells count="5">
    <mergeCell ref="B26:M26"/>
    <mergeCell ref="B16:M16"/>
    <mergeCell ref="B21:M21"/>
    <mergeCell ref="B11:M11"/>
    <mergeCell ref="B10:O10"/>
  </mergeCells>
  <phoneticPr fontId="3" type="noConversion"/>
  <pageMargins left="0.25" right="0.25" top="0.75" bottom="0.75" header="0.3" footer="0.3"/>
  <pageSetup paperSize="9" scale="5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B1C6-2E44-414D-B36A-68F072E47D64}">
  <sheetPr>
    <tabColor rgb="FFFFC000"/>
    <pageSetUpPr fitToPage="1"/>
  </sheetPr>
  <dimension ref="B2:Q28"/>
  <sheetViews>
    <sheetView view="pageBreakPreview" zoomScaleNormal="100" zoomScaleSheetLayoutView="100" workbookViewId="0">
      <selection activeCell="B16" sqref="B16:M16"/>
    </sheetView>
  </sheetViews>
  <sheetFormatPr defaultColWidth="23.5703125" defaultRowHeight="15" x14ac:dyDescent="0.25"/>
  <cols>
    <col min="2" max="2" width="17.7109375" customWidth="1"/>
    <col min="3" max="3" width="8.85546875" customWidth="1"/>
    <col min="4" max="4" width="21.7109375" bestFit="1" customWidth="1"/>
    <col min="5" max="5" width="14.42578125" bestFit="1" customWidth="1"/>
    <col min="6" max="6" width="9.28515625" bestFit="1" customWidth="1"/>
    <col min="7" max="7" width="19.140625" bestFit="1" customWidth="1"/>
    <col min="8" max="8" width="31" hidden="1" customWidth="1"/>
    <col min="9" max="9" width="21.42578125" hidden="1" customWidth="1"/>
    <col min="10" max="10" width="12.42578125" customWidth="1"/>
    <col min="11" max="11" width="13.28515625" customWidth="1"/>
    <col min="12" max="12" width="14" customWidth="1"/>
    <col min="13" max="13" width="13.7109375" customWidth="1"/>
    <col min="14" max="14" width="8" hidden="1" customWidth="1"/>
    <col min="15" max="15" width="16" bestFit="1" customWidth="1"/>
  </cols>
  <sheetData>
    <row r="2" spans="2:15" ht="15.75" thickBot="1" x14ac:dyDescent="0.3"/>
    <row r="3" spans="2:15" ht="20.25" x14ac:dyDescent="0.3">
      <c r="B3" s="35" t="s">
        <v>44</v>
      </c>
      <c r="C3" s="36"/>
      <c r="D3" s="36"/>
      <c r="E3" s="31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2:15" ht="20.25" x14ac:dyDescent="0.3">
      <c r="B4" s="37" t="s">
        <v>42</v>
      </c>
      <c r="C4" s="38" t="s">
        <v>38</v>
      </c>
      <c r="D4" s="38"/>
      <c r="E4" s="32"/>
      <c r="O4" s="18"/>
    </row>
    <row r="5" spans="2:15" ht="20.25" x14ac:dyDescent="0.3">
      <c r="B5" s="69" t="s">
        <v>31</v>
      </c>
      <c r="C5" s="70"/>
      <c r="D5" s="38"/>
      <c r="E5" s="32"/>
      <c r="O5" s="18"/>
    </row>
    <row r="6" spans="2:15" ht="20.25" x14ac:dyDescent="0.3">
      <c r="B6" s="37" t="s">
        <v>55</v>
      </c>
      <c r="C6" s="38"/>
      <c r="D6" s="38"/>
      <c r="E6" s="68">
        <f>Q25</f>
        <v>13.666666666666666</v>
      </c>
      <c r="O6" s="18"/>
    </row>
    <row r="7" spans="2:15" ht="21" thickBot="1" x14ac:dyDescent="0.35">
      <c r="B7" s="39" t="s">
        <v>30</v>
      </c>
      <c r="C7" s="40"/>
      <c r="D7" s="40"/>
      <c r="E7" s="67">
        <f>E6</f>
        <v>13.666666666666666</v>
      </c>
      <c r="O7" s="18"/>
    </row>
    <row r="8" spans="2:15" x14ac:dyDescent="0.25">
      <c r="B8" s="19"/>
      <c r="O8" s="18"/>
    </row>
    <row r="9" spans="2:15" x14ac:dyDescent="0.25">
      <c r="B9" s="19"/>
      <c r="O9" s="18"/>
    </row>
    <row r="10" spans="2:15" ht="61.5" x14ac:dyDescent="0.25">
      <c r="B10" s="75" t="s">
        <v>54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7"/>
    </row>
    <row r="11" spans="2:15" ht="15.75" x14ac:dyDescent="0.25">
      <c r="B11" s="73" t="s">
        <v>31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1"/>
      <c r="O11" s="20"/>
    </row>
    <row r="12" spans="2:15" x14ac:dyDescent="0.25">
      <c r="B12" s="56" t="s">
        <v>1</v>
      </c>
      <c r="C12" s="54" t="s">
        <v>2</v>
      </c>
      <c r="D12" s="54" t="s">
        <v>3</v>
      </c>
      <c r="E12" s="62" t="s">
        <v>4</v>
      </c>
      <c r="F12" s="63"/>
      <c r="G12" s="58" t="s">
        <v>5</v>
      </c>
      <c r="H12" s="60" t="s">
        <v>6</v>
      </c>
      <c r="I12" s="58" t="s">
        <v>7</v>
      </c>
      <c r="J12" s="58" t="s">
        <v>8</v>
      </c>
      <c r="K12" s="54" t="s">
        <v>9</v>
      </c>
      <c r="L12" s="54" t="s">
        <v>10</v>
      </c>
      <c r="M12" s="60" t="s">
        <v>11</v>
      </c>
      <c r="N12" s="60" t="s">
        <v>12</v>
      </c>
      <c r="O12" s="64" t="s">
        <v>13</v>
      </c>
    </row>
    <row r="13" spans="2:15" x14ac:dyDescent="0.25">
      <c r="B13" s="57"/>
      <c r="C13" s="55"/>
      <c r="D13" s="55"/>
      <c r="E13" s="2" t="s">
        <v>14</v>
      </c>
      <c r="F13" s="2" t="s">
        <v>15</v>
      </c>
      <c r="G13" s="59"/>
      <c r="H13" s="61"/>
      <c r="I13" s="59"/>
      <c r="J13" s="59"/>
      <c r="K13" s="55"/>
      <c r="L13" s="55"/>
      <c r="M13" s="61"/>
      <c r="N13" s="61"/>
      <c r="O13" s="65"/>
    </row>
    <row r="14" spans="2:15" x14ac:dyDescent="0.25">
      <c r="B14" s="21">
        <v>46358</v>
      </c>
      <c r="C14" s="3" t="s">
        <v>32</v>
      </c>
      <c r="D14" s="4" t="s">
        <v>38</v>
      </c>
      <c r="E14" s="5">
        <v>6</v>
      </c>
      <c r="F14" s="5">
        <v>0</v>
      </c>
      <c r="G14" s="6" t="s">
        <v>26</v>
      </c>
      <c r="H14" s="5" t="s">
        <v>16</v>
      </c>
      <c r="I14" s="5" t="s">
        <v>16</v>
      </c>
      <c r="J14" s="7" t="s">
        <v>17</v>
      </c>
      <c r="K14" s="14">
        <v>9.4166666666666661</v>
      </c>
      <c r="L14" s="14">
        <v>10.666666666666666</v>
      </c>
      <c r="M14" s="33" t="s">
        <v>29</v>
      </c>
      <c r="N14" s="15">
        <f>(L1015-K1015)-TIME(9,0,0)</f>
        <v>-0.375</v>
      </c>
      <c r="O14" s="22">
        <f>L14-K14</f>
        <v>1.25</v>
      </c>
    </row>
    <row r="15" spans="2:15" ht="15.75" thickBot="1" x14ac:dyDescent="0.3">
      <c r="B15" s="21">
        <v>46358</v>
      </c>
      <c r="C15" s="23" t="s">
        <v>32</v>
      </c>
      <c r="D15" s="4" t="s">
        <v>38</v>
      </c>
      <c r="E15" s="24">
        <v>0</v>
      </c>
      <c r="F15" s="24">
        <v>0</v>
      </c>
      <c r="G15" s="25" t="s">
        <v>20</v>
      </c>
      <c r="H15" s="24" t="s">
        <v>16</v>
      </c>
      <c r="I15" s="24" t="s">
        <v>16</v>
      </c>
      <c r="J15" s="26"/>
      <c r="K15" s="27" t="s">
        <v>57</v>
      </c>
      <c r="L15" s="27"/>
      <c r="M15" s="34" t="s">
        <v>19</v>
      </c>
      <c r="N15" s="29"/>
      <c r="O15" s="30"/>
    </row>
    <row r="16" spans="2:15" ht="15.75" x14ac:dyDescent="0.25">
      <c r="B16" s="73" t="s">
        <v>31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1"/>
      <c r="O16" s="20"/>
    </row>
    <row r="17" spans="2:17" x14ac:dyDescent="0.25">
      <c r="B17" s="56" t="s">
        <v>1</v>
      </c>
      <c r="C17" s="54" t="s">
        <v>2</v>
      </c>
      <c r="D17" s="54" t="s">
        <v>3</v>
      </c>
      <c r="E17" s="62" t="s">
        <v>4</v>
      </c>
      <c r="F17" s="63"/>
      <c r="G17" s="58" t="s">
        <v>5</v>
      </c>
      <c r="H17" s="60" t="s">
        <v>6</v>
      </c>
      <c r="I17" s="58" t="s">
        <v>7</v>
      </c>
      <c r="J17" s="58" t="s">
        <v>8</v>
      </c>
      <c r="K17" s="54" t="s">
        <v>9</v>
      </c>
      <c r="L17" s="54" t="s">
        <v>10</v>
      </c>
      <c r="M17" s="60" t="s">
        <v>11</v>
      </c>
      <c r="N17" s="60" t="s">
        <v>12</v>
      </c>
      <c r="O17" s="64" t="s">
        <v>13</v>
      </c>
    </row>
    <row r="18" spans="2:17" x14ac:dyDescent="0.25">
      <c r="B18" s="57"/>
      <c r="C18" s="55"/>
      <c r="D18" s="55"/>
      <c r="E18" s="2" t="s">
        <v>14</v>
      </c>
      <c r="F18" s="2" t="s">
        <v>15</v>
      </c>
      <c r="G18" s="59"/>
      <c r="H18" s="61"/>
      <c r="I18" s="59"/>
      <c r="J18" s="59"/>
      <c r="K18" s="55"/>
      <c r="L18" s="55"/>
      <c r="M18" s="61"/>
      <c r="N18" s="61"/>
      <c r="O18" s="65"/>
    </row>
    <row r="19" spans="2:17" x14ac:dyDescent="0.25">
      <c r="B19" s="21">
        <v>46359</v>
      </c>
      <c r="C19" s="3" t="s">
        <v>32</v>
      </c>
      <c r="D19" s="4" t="s">
        <v>38</v>
      </c>
      <c r="E19" s="5">
        <v>4</v>
      </c>
      <c r="F19" s="5">
        <v>0</v>
      </c>
      <c r="G19" s="6" t="s">
        <v>26</v>
      </c>
      <c r="H19" s="5" t="s">
        <v>16</v>
      </c>
      <c r="I19" s="5" t="s">
        <v>16</v>
      </c>
      <c r="J19" s="7" t="s">
        <v>17</v>
      </c>
      <c r="K19" s="14">
        <v>9.3333333333333339</v>
      </c>
      <c r="L19" s="14">
        <v>10.5</v>
      </c>
      <c r="M19" s="33" t="s">
        <v>22</v>
      </c>
      <c r="N19" s="15">
        <f>(L1020-K1020)-TIME(9,0,0)</f>
        <v>-0.375</v>
      </c>
      <c r="O19" s="22">
        <f>L19-K19</f>
        <v>1.1666666666666661</v>
      </c>
    </row>
    <row r="20" spans="2:17" ht="15.75" thickBot="1" x14ac:dyDescent="0.3">
      <c r="B20" s="21">
        <v>46359</v>
      </c>
      <c r="C20" s="23" t="s">
        <v>32</v>
      </c>
      <c r="D20" s="4" t="s">
        <v>38</v>
      </c>
      <c r="E20" s="24">
        <v>0</v>
      </c>
      <c r="F20" s="24">
        <v>0</v>
      </c>
      <c r="G20" s="25" t="s">
        <v>20</v>
      </c>
      <c r="H20" s="24" t="s">
        <v>16</v>
      </c>
      <c r="I20" s="24" t="s">
        <v>16</v>
      </c>
      <c r="J20" s="26"/>
      <c r="K20" s="27"/>
      <c r="L20" s="27"/>
      <c r="M20" s="34" t="s">
        <v>19</v>
      </c>
      <c r="N20" s="29"/>
      <c r="O20" s="30"/>
    </row>
    <row r="21" spans="2:17" ht="15.75" x14ac:dyDescent="0.25">
      <c r="B21" s="73" t="s">
        <v>31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1"/>
      <c r="O21" s="20"/>
    </row>
    <row r="22" spans="2:17" x14ac:dyDescent="0.25">
      <c r="B22" s="56" t="s">
        <v>1</v>
      </c>
      <c r="C22" s="54" t="s">
        <v>2</v>
      </c>
      <c r="D22" s="54" t="s">
        <v>3</v>
      </c>
      <c r="E22" s="62" t="s">
        <v>4</v>
      </c>
      <c r="F22" s="63"/>
      <c r="G22" s="58" t="s">
        <v>5</v>
      </c>
      <c r="H22" s="60" t="s">
        <v>6</v>
      </c>
      <c r="I22" s="58" t="s">
        <v>7</v>
      </c>
      <c r="J22" s="58" t="s">
        <v>8</v>
      </c>
      <c r="K22" s="54" t="s">
        <v>9</v>
      </c>
      <c r="L22" s="54" t="s">
        <v>10</v>
      </c>
      <c r="M22" s="60" t="s">
        <v>11</v>
      </c>
      <c r="N22" s="60" t="s">
        <v>12</v>
      </c>
      <c r="O22" s="64" t="s">
        <v>13</v>
      </c>
      <c r="P22" s="2" t="s">
        <v>14</v>
      </c>
      <c r="Q22" s="2" t="s">
        <v>15</v>
      </c>
    </row>
    <row r="23" spans="2:17" x14ac:dyDescent="0.25">
      <c r="B23" s="57"/>
      <c r="C23" s="55"/>
      <c r="D23" s="55"/>
      <c r="E23" s="2" t="s">
        <v>14</v>
      </c>
      <c r="F23" s="2" t="s">
        <v>15</v>
      </c>
      <c r="G23" s="59"/>
      <c r="H23" s="61"/>
      <c r="I23" s="59"/>
      <c r="J23" s="59"/>
      <c r="K23" s="55"/>
      <c r="L23" s="55"/>
      <c r="M23" s="61"/>
      <c r="N23" s="61"/>
      <c r="O23" s="65"/>
      <c r="P23" s="45">
        <f>SUM(E14:E15,E19:E20,E24:E25)</f>
        <v>13</v>
      </c>
      <c r="Q23" s="45">
        <f>SUM(F14:F15,F19:F20,F24:F25)</f>
        <v>40</v>
      </c>
    </row>
    <row r="24" spans="2:17" x14ac:dyDescent="0.25">
      <c r="B24" s="21">
        <v>46359</v>
      </c>
      <c r="C24" s="3" t="s">
        <v>32</v>
      </c>
      <c r="D24" s="4" t="s">
        <v>38</v>
      </c>
      <c r="E24" s="5">
        <v>3</v>
      </c>
      <c r="F24" s="5">
        <v>40</v>
      </c>
      <c r="G24" s="6" t="s">
        <v>26</v>
      </c>
      <c r="H24" s="5" t="s">
        <v>16</v>
      </c>
      <c r="I24" s="5" t="s">
        <v>16</v>
      </c>
      <c r="J24" s="7" t="s">
        <v>17</v>
      </c>
      <c r="K24" s="14">
        <v>9.5</v>
      </c>
      <c r="L24" s="14">
        <v>10.652777777777779</v>
      </c>
      <c r="M24" s="33" t="s">
        <v>23</v>
      </c>
      <c r="N24" s="15">
        <f>(L1025-K1025)-TIME(9,0,0)</f>
        <v>-0.375</v>
      </c>
      <c r="O24" s="22">
        <f>L24-K24</f>
        <v>1.1527777777777786</v>
      </c>
      <c r="P24" s="46"/>
      <c r="Q24" s="46">
        <f>Q23/60</f>
        <v>0.66666666666666663</v>
      </c>
    </row>
    <row r="25" spans="2:17" ht="15.75" thickBot="1" x14ac:dyDescent="0.3">
      <c r="B25" s="21">
        <v>46359</v>
      </c>
      <c r="C25" s="23" t="s">
        <v>32</v>
      </c>
      <c r="D25" s="4" t="s">
        <v>38</v>
      </c>
      <c r="E25" s="24">
        <v>0</v>
      </c>
      <c r="F25" s="24">
        <v>0</v>
      </c>
      <c r="G25" s="25" t="s">
        <v>20</v>
      </c>
      <c r="H25" s="24" t="s">
        <v>16</v>
      </c>
      <c r="I25" s="24" t="s">
        <v>16</v>
      </c>
      <c r="J25" s="26"/>
      <c r="K25" s="27"/>
      <c r="L25" s="27"/>
      <c r="M25" s="34" t="s">
        <v>19</v>
      </c>
      <c r="N25" s="29"/>
      <c r="O25" s="30"/>
      <c r="P25" s="13" t="s">
        <v>21</v>
      </c>
      <c r="Q25" s="13">
        <f>P23+Q24</f>
        <v>13.666666666666666</v>
      </c>
    </row>
    <row r="26" spans="2:17" x14ac:dyDescent="0.25">
      <c r="B26" s="9" t="s">
        <v>19</v>
      </c>
      <c r="C26" s="8"/>
      <c r="D26" s="9"/>
      <c r="E26" s="10">
        <f>SUM(E24:E25)</f>
        <v>3</v>
      </c>
      <c r="F26" s="10">
        <f>SUM(F24:F25)</f>
        <v>40</v>
      </c>
      <c r="G26" s="11"/>
      <c r="H26" s="11"/>
      <c r="I26" s="11"/>
      <c r="J26" s="11"/>
      <c r="K26" s="12"/>
      <c r="L26" s="12"/>
      <c r="M26" s="9"/>
      <c r="N26" s="9"/>
      <c r="O26" s="9"/>
    </row>
    <row r="27" spans="2:17" x14ac:dyDescent="0.25">
      <c r="B27" s="8"/>
      <c r="C27" s="8"/>
      <c r="D27" s="9"/>
      <c r="E27" s="11"/>
      <c r="F27" s="11">
        <f>F26/60</f>
        <v>0.66666666666666663</v>
      </c>
      <c r="G27" s="11"/>
      <c r="H27" s="11"/>
      <c r="I27" s="11"/>
      <c r="J27" s="11"/>
      <c r="K27" s="12"/>
      <c r="L27" s="12"/>
      <c r="M27" s="9"/>
      <c r="N27" s="9"/>
      <c r="O27" s="9"/>
    </row>
    <row r="28" spans="2:17" x14ac:dyDescent="0.25">
      <c r="B28" s="8"/>
      <c r="C28" s="8"/>
      <c r="D28" s="9"/>
      <c r="E28" s="13" t="s">
        <v>21</v>
      </c>
      <c r="F28" s="13">
        <f>E26+F27</f>
        <v>3.6666666666666665</v>
      </c>
      <c r="G28" s="11"/>
      <c r="H28" s="11"/>
      <c r="I28" s="11"/>
      <c r="J28" s="11"/>
      <c r="K28" s="12"/>
      <c r="L28" s="12"/>
      <c r="M28" s="9"/>
      <c r="N28" s="9"/>
      <c r="O28" s="41"/>
    </row>
  </sheetData>
  <mergeCells count="4">
    <mergeCell ref="B10:O10"/>
    <mergeCell ref="B11:M11"/>
    <mergeCell ref="B16:M16"/>
    <mergeCell ref="B21:M21"/>
  </mergeCells>
  <pageMargins left="0.25" right="0.25" top="0.75" bottom="0.75" header="0.3" footer="0.3"/>
  <pageSetup paperSize="9" scale="61" fitToHeight="0" orientation="portrait" r:id="rId1"/>
  <colBreaks count="1" manualBreakCount="1">
    <brk id="15" min="2" max="17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DB32-5D1E-47E1-959D-E60CC6EFE293}">
  <sheetPr>
    <tabColor rgb="FF00B050"/>
  </sheetPr>
  <dimension ref="B2:Q34"/>
  <sheetViews>
    <sheetView view="pageBreakPreview" zoomScale="85" zoomScaleNormal="85" zoomScaleSheetLayoutView="85" workbookViewId="0">
      <selection sqref="A1:XFD1048576"/>
    </sheetView>
  </sheetViews>
  <sheetFormatPr defaultColWidth="23.5703125" defaultRowHeight="15" x14ac:dyDescent="0.25"/>
  <cols>
    <col min="2" max="2" width="17.7109375" customWidth="1"/>
    <col min="3" max="3" width="8.85546875" customWidth="1"/>
    <col min="4" max="4" width="21.7109375" bestFit="1" customWidth="1"/>
    <col min="5" max="5" width="14.42578125" bestFit="1" customWidth="1"/>
    <col min="6" max="6" width="9.28515625" bestFit="1" customWidth="1"/>
    <col min="7" max="7" width="19.140625" bestFit="1" customWidth="1"/>
    <col min="8" max="8" width="31" hidden="1" customWidth="1"/>
    <col min="9" max="9" width="21.42578125" hidden="1" customWidth="1"/>
    <col min="10" max="10" width="12.42578125" customWidth="1"/>
    <col min="11" max="11" width="13.28515625" customWidth="1"/>
    <col min="12" max="12" width="14" customWidth="1"/>
    <col min="13" max="13" width="13.7109375" customWidth="1"/>
    <col min="14" max="14" width="8" hidden="1" customWidth="1"/>
    <col min="15" max="15" width="16" bestFit="1" customWidth="1"/>
  </cols>
  <sheetData>
    <row r="2" spans="2:15" ht="15.75" thickBot="1" x14ac:dyDescent="0.3"/>
    <row r="3" spans="2:15" ht="20.25" x14ac:dyDescent="0.3">
      <c r="B3" s="35" t="s">
        <v>44</v>
      </c>
      <c r="C3" s="36"/>
      <c r="D3" s="36"/>
      <c r="E3" s="31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2:15" ht="20.25" x14ac:dyDescent="0.3">
      <c r="B4" s="37" t="s">
        <v>42</v>
      </c>
      <c r="C4" s="38" t="s">
        <v>38</v>
      </c>
      <c r="D4" s="38"/>
      <c r="E4" s="32"/>
      <c r="O4" s="18"/>
    </row>
    <row r="5" spans="2:15" ht="20.25" x14ac:dyDescent="0.3">
      <c r="B5" s="69" t="s">
        <v>48</v>
      </c>
      <c r="C5" s="70"/>
      <c r="D5" s="70"/>
      <c r="E5" s="32"/>
      <c r="O5" s="18"/>
    </row>
    <row r="6" spans="2:15" ht="20.25" x14ac:dyDescent="0.3">
      <c r="B6" s="37" t="s">
        <v>55</v>
      </c>
      <c r="C6" s="38"/>
      <c r="D6" s="38"/>
      <c r="E6" s="68">
        <f>Q31</f>
        <v>29.833333333333332</v>
      </c>
      <c r="O6" s="18"/>
    </row>
    <row r="7" spans="2:15" ht="21" thickBot="1" x14ac:dyDescent="0.35">
      <c r="B7" s="39" t="s">
        <v>30</v>
      </c>
      <c r="C7" s="40"/>
      <c r="D7" s="40"/>
      <c r="E7" s="67">
        <f>E6</f>
        <v>29.833333333333332</v>
      </c>
      <c r="O7" s="18"/>
    </row>
    <row r="8" spans="2:15" x14ac:dyDescent="0.25">
      <c r="B8" s="19"/>
      <c r="O8" s="18"/>
    </row>
    <row r="9" spans="2:15" ht="15.75" thickBot="1" x14ac:dyDescent="0.3">
      <c r="B9" s="19"/>
      <c r="O9" s="18"/>
    </row>
    <row r="10" spans="2:15" ht="62.25" thickBot="1" x14ac:dyDescent="0.3">
      <c r="B10" s="80" t="s">
        <v>54</v>
      </c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2"/>
    </row>
    <row r="11" spans="2:15" ht="15" customHeight="1" x14ac:dyDescent="0.25">
      <c r="B11" s="78" t="s">
        <v>53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1"/>
      <c r="O11" s="72"/>
    </row>
    <row r="12" spans="2:15" x14ac:dyDescent="0.25">
      <c r="B12" s="56" t="s">
        <v>1</v>
      </c>
      <c r="C12" s="54" t="s">
        <v>2</v>
      </c>
      <c r="D12" s="54" t="s">
        <v>3</v>
      </c>
      <c r="E12" s="62" t="s">
        <v>4</v>
      </c>
      <c r="F12" s="63"/>
      <c r="G12" s="58" t="s">
        <v>5</v>
      </c>
      <c r="H12" s="60" t="s">
        <v>6</v>
      </c>
      <c r="I12" s="58" t="s">
        <v>7</v>
      </c>
      <c r="J12" s="58" t="s">
        <v>8</v>
      </c>
      <c r="K12" s="54" t="s">
        <v>9</v>
      </c>
      <c r="L12" s="54" t="s">
        <v>10</v>
      </c>
      <c r="M12" s="60" t="s">
        <v>11</v>
      </c>
      <c r="N12" s="60" t="s">
        <v>12</v>
      </c>
      <c r="O12" s="64" t="s">
        <v>13</v>
      </c>
    </row>
    <row r="13" spans="2:15" x14ac:dyDescent="0.25">
      <c r="B13" s="57"/>
      <c r="C13" s="55"/>
      <c r="D13" s="55"/>
      <c r="E13" s="2" t="s">
        <v>14</v>
      </c>
      <c r="F13" s="2" t="s">
        <v>15</v>
      </c>
      <c r="G13" s="59"/>
      <c r="H13" s="61"/>
      <c r="I13" s="59"/>
      <c r="J13" s="59"/>
      <c r="K13" s="55"/>
      <c r="L13" s="55"/>
      <c r="M13" s="61"/>
      <c r="N13" s="61"/>
      <c r="O13" s="65"/>
    </row>
    <row r="14" spans="2:15" x14ac:dyDescent="0.25">
      <c r="B14" s="21">
        <v>46357</v>
      </c>
      <c r="C14" s="3" t="s">
        <v>49</v>
      </c>
      <c r="D14" s="4" t="s">
        <v>38</v>
      </c>
      <c r="E14" s="5">
        <v>4</v>
      </c>
      <c r="F14" s="5">
        <v>30</v>
      </c>
      <c r="G14" s="6" t="s">
        <v>26</v>
      </c>
      <c r="H14" s="5" t="s">
        <v>16</v>
      </c>
      <c r="I14" s="5" t="s">
        <v>16</v>
      </c>
      <c r="J14" s="7" t="s">
        <v>17</v>
      </c>
      <c r="K14" s="14">
        <v>9.3333333333333339</v>
      </c>
      <c r="L14" s="14">
        <v>10.416666666666666</v>
      </c>
      <c r="M14" s="33" t="s">
        <v>28</v>
      </c>
      <c r="N14" s="15">
        <f>(L1016-K1016)-TIME(9,0,0)</f>
        <v>-0.375</v>
      </c>
      <c r="O14" s="22">
        <f>L14-K14</f>
        <v>1.0833333333333321</v>
      </c>
    </row>
    <row r="15" spans="2:15" x14ac:dyDescent="0.25">
      <c r="B15" s="21">
        <v>46357</v>
      </c>
      <c r="C15" s="3" t="s">
        <v>49</v>
      </c>
      <c r="D15" s="4" t="s">
        <v>38</v>
      </c>
      <c r="E15" s="5">
        <v>4</v>
      </c>
      <c r="F15" s="5">
        <v>0</v>
      </c>
      <c r="G15" s="6" t="s">
        <v>26</v>
      </c>
      <c r="H15" s="5" t="s">
        <v>16</v>
      </c>
      <c r="I15" s="5" t="s">
        <v>16</v>
      </c>
      <c r="J15" s="7" t="s">
        <v>17</v>
      </c>
      <c r="K15" s="14">
        <v>9.6041666666666661</v>
      </c>
      <c r="L15" s="14">
        <v>10.770833333333334</v>
      </c>
      <c r="M15" s="33" t="s">
        <v>28</v>
      </c>
      <c r="N15" s="15">
        <f>(L1017-K1017)-TIME(9,0,0)</f>
        <v>-0.375</v>
      </c>
      <c r="O15" s="22">
        <f>L15-K15</f>
        <v>1.1666666666666679</v>
      </c>
    </row>
    <row r="16" spans="2:15" ht="15.75" thickBot="1" x14ac:dyDescent="0.3">
      <c r="B16" s="21">
        <v>46357</v>
      </c>
      <c r="C16" s="23" t="s">
        <v>49</v>
      </c>
      <c r="D16" s="4" t="s">
        <v>38</v>
      </c>
      <c r="E16" s="24">
        <v>0</v>
      </c>
      <c r="F16" s="24">
        <v>0</v>
      </c>
      <c r="G16" s="25" t="s">
        <v>20</v>
      </c>
      <c r="H16" s="24" t="s">
        <v>16</v>
      </c>
      <c r="I16" s="24" t="s">
        <v>16</v>
      </c>
      <c r="J16" s="26"/>
      <c r="K16" s="27"/>
      <c r="L16" s="27"/>
      <c r="M16" s="34" t="s">
        <v>19</v>
      </c>
      <c r="N16" s="29"/>
      <c r="O16" s="30"/>
    </row>
    <row r="17" spans="2:17" ht="15.75" x14ac:dyDescent="0.25">
      <c r="B17" s="73" t="s">
        <v>53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1"/>
      <c r="O17" s="20"/>
    </row>
    <row r="18" spans="2:17" x14ac:dyDescent="0.25">
      <c r="B18" s="56" t="s">
        <v>1</v>
      </c>
      <c r="C18" s="54" t="s">
        <v>2</v>
      </c>
      <c r="D18" s="54" t="s">
        <v>3</v>
      </c>
      <c r="E18" s="62" t="s">
        <v>4</v>
      </c>
      <c r="F18" s="63"/>
      <c r="G18" s="58" t="s">
        <v>5</v>
      </c>
      <c r="H18" s="60" t="s">
        <v>6</v>
      </c>
      <c r="I18" s="58" t="s">
        <v>7</v>
      </c>
      <c r="J18" s="58" t="s">
        <v>8</v>
      </c>
      <c r="K18" s="54" t="s">
        <v>9</v>
      </c>
      <c r="L18" s="54" t="s">
        <v>10</v>
      </c>
      <c r="M18" s="60" t="s">
        <v>11</v>
      </c>
      <c r="N18" s="60" t="s">
        <v>12</v>
      </c>
      <c r="O18" s="64" t="s">
        <v>13</v>
      </c>
    </row>
    <row r="19" spans="2:17" x14ac:dyDescent="0.25">
      <c r="B19" s="57"/>
      <c r="C19" s="55"/>
      <c r="D19" s="55"/>
      <c r="E19" s="2" t="s">
        <v>14</v>
      </c>
      <c r="F19" s="2" t="s">
        <v>15</v>
      </c>
      <c r="G19" s="59"/>
      <c r="H19" s="61"/>
      <c r="I19" s="59"/>
      <c r="J19" s="59"/>
      <c r="K19" s="55"/>
      <c r="L19" s="55"/>
      <c r="M19" s="61"/>
      <c r="N19" s="61"/>
      <c r="O19" s="65"/>
    </row>
    <row r="20" spans="2:17" x14ac:dyDescent="0.25">
      <c r="B20" s="21">
        <v>46358</v>
      </c>
      <c r="C20" s="3" t="s">
        <v>49</v>
      </c>
      <c r="D20" s="4" t="s">
        <v>38</v>
      </c>
      <c r="E20" s="5">
        <v>7</v>
      </c>
      <c r="F20" s="5">
        <v>0</v>
      </c>
      <c r="G20" s="6" t="s">
        <v>26</v>
      </c>
      <c r="H20" s="5" t="s">
        <v>16</v>
      </c>
      <c r="I20" s="5" t="s">
        <v>16</v>
      </c>
      <c r="J20" s="7" t="s">
        <v>17</v>
      </c>
      <c r="K20" s="14">
        <v>9.6666666666666661</v>
      </c>
      <c r="L20" s="14">
        <v>10.958333333333334</v>
      </c>
      <c r="M20" s="33" t="s">
        <v>29</v>
      </c>
      <c r="N20" s="15">
        <f>(L1021-K1021)-TIME(9,0,0)</f>
        <v>-0.375</v>
      </c>
      <c r="O20" s="22">
        <f>L20-K20</f>
        <v>1.2916666666666679</v>
      </c>
    </row>
    <row r="21" spans="2:17" ht="15.75" thickBot="1" x14ac:dyDescent="0.3">
      <c r="B21" s="21">
        <v>46358</v>
      </c>
      <c r="C21" s="23" t="s">
        <v>49</v>
      </c>
      <c r="D21" s="4" t="s">
        <v>38</v>
      </c>
      <c r="E21" s="24">
        <v>0</v>
      </c>
      <c r="F21" s="24">
        <v>0</v>
      </c>
      <c r="G21" s="25" t="s">
        <v>20</v>
      </c>
      <c r="H21" s="24" t="s">
        <v>16</v>
      </c>
      <c r="I21" s="24" t="s">
        <v>16</v>
      </c>
      <c r="J21" s="26"/>
      <c r="K21" s="27" t="s">
        <v>57</v>
      </c>
      <c r="L21" s="27"/>
      <c r="M21" s="34" t="s">
        <v>19</v>
      </c>
      <c r="N21" s="29"/>
      <c r="O21" s="30"/>
    </row>
    <row r="22" spans="2:17" ht="15.75" x14ac:dyDescent="0.25">
      <c r="B22" s="73" t="s">
        <v>53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1"/>
      <c r="O22" s="20"/>
    </row>
    <row r="23" spans="2:17" ht="30" x14ac:dyDescent="0.25">
      <c r="B23" s="56" t="s">
        <v>1</v>
      </c>
      <c r="C23" s="54" t="s">
        <v>2</v>
      </c>
      <c r="D23" s="54" t="s">
        <v>3</v>
      </c>
      <c r="E23" s="62" t="s">
        <v>4</v>
      </c>
      <c r="F23" s="63"/>
      <c r="G23" s="58" t="s">
        <v>5</v>
      </c>
      <c r="H23" s="60" t="s">
        <v>6</v>
      </c>
      <c r="I23" s="58" t="s">
        <v>7</v>
      </c>
      <c r="J23" s="58" t="s">
        <v>8</v>
      </c>
      <c r="K23" s="54" t="s">
        <v>9</v>
      </c>
      <c r="L23" s="54" t="s">
        <v>10</v>
      </c>
      <c r="M23" s="60" t="s">
        <v>11</v>
      </c>
      <c r="N23" s="60" t="s">
        <v>12</v>
      </c>
      <c r="O23" s="64" t="s">
        <v>13</v>
      </c>
    </row>
    <row r="24" spans="2:17" x14ac:dyDescent="0.25">
      <c r="B24" s="57"/>
      <c r="C24" s="55"/>
      <c r="D24" s="55"/>
      <c r="E24" s="2" t="s">
        <v>14</v>
      </c>
      <c r="F24" s="2" t="s">
        <v>15</v>
      </c>
      <c r="G24" s="59"/>
      <c r="H24" s="61"/>
      <c r="I24" s="59"/>
      <c r="J24" s="59"/>
      <c r="K24" s="55"/>
      <c r="L24" s="55"/>
      <c r="M24" s="61"/>
      <c r="N24" s="61"/>
      <c r="O24" s="65"/>
    </row>
    <row r="25" spans="2:17" x14ac:dyDescent="0.25">
      <c r="B25" s="21">
        <v>46359</v>
      </c>
      <c r="C25" s="3" t="s">
        <v>49</v>
      </c>
      <c r="D25" s="4" t="s">
        <v>38</v>
      </c>
      <c r="E25" s="5">
        <v>7</v>
      </c>
      <c r="F25" s="5">
        <v>20</v>
      </c>
      <c r="G25" s="6" t="s">
        <v>26</v>
      </c>
      <c r="H25" s="5" t="s">
        <v>16</v>
      </c>
      <c r="I25" s="5" t="s">
        <v>16</v>
      </c>
      <c r="J25" s="7" t="s">
        <v>17</v>
      </c>
      <c r="K25" s="14">
        <v>9.6527777777777786</v>
      </c>
      <c r="L25" s="14">
        <v>10.958333333333334</v>
      </c>
      <c r="M25" s="33" t="s">
        <v>22</v>
      </c>
      <c r="N25" s="15">
        <f>(L1026-K1026)-TIME(9,0,0)</f>
        <v>-0.375</v>
      </c>
      <c r="O25" s="22">
        <f>L25-K25</f>
        <v>1.3055555555555554</v>
      </c>
    </row>
    <row r="26" spans="2:17" ht="15.75" thickBot="1" x14ac:dyDescent="0.3">
      <c r="B26" s="21">
        <v>46359</v>
      </c>
      <c r="C26" s="23" t="s">
        <v>49</v>
      </c>
      <c r="D26" s="4" t="s">
        <v>38</v>
      </c>
      <c r="E26" s="24">
        <v>0</v>
      </c>
      <c r="F26" s="24">
        <v>0</v>
      </c>
      <c r="G26" s="25" t="s">
        <v>20</v>
      </c>
      <c r="H26" s="24" t="s">
        <v>16</v>
      </c>
      <c r="I26" s="24" t="s">
        <v>16</v>
      </c>
      <c r="J26" s="26"/>
      <c r="K26" s="27"/>
      <c r="L26" s="27"/>
      <c r="M26" s="34" t="s">
        <v>19</v>
      </c>
      <c r="N26" s="29"/>
      <c r="O26" s="30"/>
    </row>
    <row r="27" spans="2:17" ht="15.75" x14ac:dyDescent="0.25">
      <c r="B27" s="73" t="s">
        <v>53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1"/>
      <c r="O27" s="20"/>
    </row>
    <row r="28" spans="2:17" ht="30" x14ac:dyDescent="0.25">
      <c r="B28" s="56" t="s">
        <v>1</v>
      </c>
      <c r="C28" s="54" t="s">
        <v>2</v>
      </c>
      <c r="D28" s="54" t="s">
        <v>3</v>
      </c>
      <c r="E28" s="62" t="s">
        <v>4</v>
      </c>
      <c r="F28" s="63"/>
      <c r="G28" s="58" t="s">
        <v>5</v>
      </c>
      <c r="H28" s="60" t="s">
        <v>6</v>
      </c>
      <c r="I28" s="58" t="s">
        <v>7</v>
      </c>
      <c r="J28" s="58" t="s">
        <v>8</v>
      </c>
      <c r="K28" s="54" t="s">
        <v>9</v>
      </c>
      <c r="L28" s="54" t="s">
        <v>10</v>
      </c>
      <c r="M28" s="60" t="s">
        <v>11</v>
      </c>
      <c r="N28" s="60" t="s">
        <v>12</v>
      </c>
      <c r="O28" s="64" t="s">
        <v>13</v>
      </c>
      <c r="P28" s="2" t="s">
        <v>14</v>
      </c>
      <c r="Q28" s="2" t="s">
        <v>15</v>
      </c>
    </row>
    <row r="29" spans="2:17" x14ac:dyDescent="0.25">
      <c r="B29" s="57"/>
      <c r="C29" s="55"/>
      <c r="D29" s="55"/>
      <c r="E29" s="2" t="s">
        <v>14</v>
      </c>
      <c r="F29" s="2" t="s">
        <v>15</v>
      </c>
      <c r="G29" s="59"/>
      <c r="H29" s="61"/>
      <c r="I29" s="59"/>
      <c r="J29" s="59"/>
      <c r="K29" s="55"/>
      <c r="L29" s="55"/>
      <c r="M29" s="61"/>
      <c r="N29" s="61"/>
      <c r="O29" s="65"/>
      <c r="P29" s="45">
        <f>SUM(E14:E16,E20:E21,E25:E26,E30:E31)</f>
        <v>29</v>
      </c>
      <c r="Q29" s="45">
        <f>SUM(F14:F16,F20:F21,F25:F26,F30:F31)</f>
        <v>50</v>
      </c>
    </row>
    <row r="30" spans="2:17" x14ac:dyDescent="0.25">
      <c r="B30" s="21">
        <v>46360</v>
      </c>
      <c r="C30" s="3" t="s">
        <v>49</v>
      </c>
      <c r="D30" s="4" t="s">
        <v>38</v>
      </c>
      <c r="E30" s="5">
        <v>7</v>
      </c>
      <c r="F30" s="5">
        <v>0</v>
      </c>
      <c r="G30" s="6" t="s">
        <v>26</v>
      </c>
      <c r="H30" s="5" t="s">
        <v>16</v>
      </c>
      <c r="I30" s="5" t="s">
        <v>16</v>
      </c>
      <c r="J30" s="7" t="s">
        <v>17</v>
      </c>
      <c r="K30" s="14">
        <v>9.3333333333333339</v>
      </c>
      <c r="L30" s="14">
        <v>10.625</v>
      </c>
      <c r="M30" s="33" t="s">
        <v>23</v>
      </c>
      <c r="N30" s="15">
        <f>(L1031-K1031)-TIME(9,0,0)</f>
        <v>-0.375</v>
      </c>
      <c r="O30" s="22">
        <f>L30-K30</f>
        <v>1.2916666666666661</v>
      </c>
      <c r="P30" s="46"/>
      <c r="Q30" s="46">
        <f>Q29/60</f>
        <v>0.83333333333333337</v>
      </c>
    </row>
    <row r="31" spans="2:17" ht="15.75" thickBot="1" x14ac:dyDescent="0.3">
      <c r="B31" s="21">
        <v>46360</v>
      </c>
      <c r="C31" s="23" t="s">
        <v>49</v>
      </c>
      <c r="D31" s="4" t="s">
        <v>38</v>
      </c>
      <c r="E31" s="24">
        <v>0</v>
      </c>
      <c r="F31" s="24">
        <v>0</v>
      </c>
      <c r="G31" s="25" t="s">
        <v>20</v>
      </c>
      <c r="H31" s="24" t="s">
        <v>16</v>
      </c>
      <c r="I31" s="24" t="s">
        <v>16</v>
      </c>
      <c r="J31" s="26"/>
      <c r="K31" s="27"/>
      <c r="L31" s="27"/>
      <c r="M31" s="34" t="s">
        <v>19</v>
      </c>
      <c r="N31" s="29"/>
      <c r="O31" s="30"/>
      <c r="P31" s="13" t="s">
        <v>21</v>
      </c>
      <c r="Q31" s="13">
        <f>P29+Q30</f>
        <v>29.833333333333332</v>
      </c>
    </row>
    <row r="32" spans="2:17" x14ac:dyDescent="0.25">
      <c r="B32" s="9" t="s">
        <v>19</v>
      </c>
      <c r="C32" s="8"/>
      <c r="D32" s="9"/>
      <c r="E32" s="10">
        <f>SUM(E30:E31)</f>
        <v>7</v>
      </c>
      <c r="F32" s="10">
        <f>SUM(F30:F31)</f>
        <v>0</v>
      </c>
      <c r="G32" s="11"/>
      <c r="H32" s="11"/>
      <c r="I32" s="11"/>
      <c r="J32" s="11"/>
      <c r="K32" s="12"/>
      <c r="L32" s="12"/>
      <c r="M32" s="9"/>
      <c r="N32" s="9"/>
      <c r="O32" s="9"/>
    </row>
    <row r="33" spans="2:15" x14ac:dyDescent="0.25">
      <c r="B33" s="8"/>
      <c r="C33" s="8"/>
      <c r="D33" s="9"/>
      <c r="E33" s="11"/>
      <c r="F33" s="11">
        <f>F32/60</f>
        <v>0</v>
      </c>
      <c r="G33" s="11"/>
      <c r="H33" s="11"/>
      <c r="I33" s="11"/>
      <c r="J33" s="11"/>
      <c r="K33" s="12"/>
      <c r="L33" s="12"/>
      <c r="M33" s="9"/>
      <c r="N33" s="9"/>
      <c r="O33" s="9"/>
    </row>
    <row r="34" spans="2:15" x14ac:dyDescent="0.25">
      <c r="B34" s="8"/>
      <c r="C34" s="8"/>
      <c r="D34" s="9"/>
      <c r="E34" s="13" t="s">
        <v>21</v>
      </c>
      <c r="F34" s="13">
        <f>E32+F33</f>
        <v>7</v>
      </c>
      <c r="G34" s="11"/>
      <c r="H34" s="11"/>
      <c r="I34" s="11"/>
      <c r="J34" s="11"/>
      <c r="K34" s="12"/>
      <c r="L34" s="12"/>
      <c r="M34" s="9"/>
      <c r="N34" s="9"/>
      <c r="O34" s="41"/>
    </row>
  </sheetData>
  <mergeCells count="5">
    <mergeCell ref="B11:M11"/>
    <mergeCell ref="B27:M27"/>
    <mergeCell ref="B22:M22"/>
    <mergeCell ref="B10:O10"/>
    <mergeCell ref="B17:M17"/>
  </mergeCells>
  <pageMargins left="0.7" right="0.7" top="0.75" bottom="0.75" header="0.3" footer="0.3"/>
  <pageSetup paperSize="9" scale="4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F161-B290-4108-902E-7084301B062B}">
  <sheetPr>
    <pageSetUpPr fitToPage="1"/>
  </sheetPr>
  <dimension ref="B2:Q71"/>
  <sheetViews>
    <sheetView view="pageBreakPreview" topLeftCell="A61" zoomScaleNormal="100" zoomScaleSheetLayoutView="100" workbookViewId="0">
      <selection activeCell="B110" sqref="B110"/>
    </sheetView>
  </sheetViews>
  <sheetFormatPr defaultColWidth="23.5703125" defaultRowHeight="15" x14ac:dyDescent="0.25"/>
  <cols>
    <col min="2" max="2" width="30.85546875" bestFit="1" customWidth="1"/>
    <col min="3" max="3" width="8.85546875" customWidth="1"/>
    <col min="4" max="4" width="15.85546875" customWidth="1"/>
    <col min="5" max="5" width="14.42578125" bestFit="1" customWidth="1"/>
    <col min="6" max="6" width="9.28515625" bestFit="1" customWidth="1"/>
    <col min="7" max="7" width="31" customWidth="1"/>
    <col min="8" max="8" width="31" hidden="1" customWidth="1"/>
    <col min="9" max="9" width="21.42578125" hidden="1" customWidth="1"/>
    <col min="10" max="10" width="12.42578125" customWidth="1"/>
    <col min="11" max="11" width="13.28515625" customWidth="1"/>
    <col min="12" max="12" width="14" customWidth="1"/>
    <col min="13" max="13" width="13.7109375" customWidth="1"/>
    <col min="14" max="14" width="8" hidden="1" customWidth="1"/>
    <col min="15" max="15" width="16" bestFit="1" customWidth="1"/>
  </cols>
  <sheetData>
    <row r="2" spans="2:15" ht="15.75" thickBot="1" x14ac:dyDescent="0.3"/>
    <row r="3" spans="2:15" ht="20.25" x14ac:dyDescent="0.3">
      <c r="B3" s="35" t="s">
        <v>44</v>
      </c>
      <c r="C3" s="36"/>
      <c r="D3" s="36"/>
      <c r="E3" s="31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2:15" ht="20.25" x14ac:dyDescent="0.3">
      <c r="B4" s="37" t="s">
        <v>42</v>
      </c>
      <c r="C4" s="38" t="s">
        <v>38</v>
      </c>
      <c r="D4" s="38"/>
      <c r="E4" s="32"/>
      <c r="O4" s="18"/>
    </row>
    <row r="5" spans="2:15" ht="20.25" x14ac:dyDescent="0.3">
      <c r="B5" s="37" t="s">
        <v>33</v>
      </c>
      <c r="C5" s="38"/>
      <c r="D5" s="38"/>
      <c r="E5" s="32"/>
      <c r="O5" s="18"/>
    </row>
    <row r="6" spans="2:15" ht="20.25" x14ac:dyDescent="0.3">
      <c r="B6" s="37" t="s">
        <v>40</v>
      </c>
      <c r="C6" s="38"/>
      <c r="D6" s="38"/>
      <c r="E6" s="42">
        <f>Q30</f>
        <v>42</v>
      </c>
      <c r="O6" s="18"/>
    </row>
    <row r="7" spans="2:15" ht="20.25" x14ac:dyDescent="0.3">
      <c r="B7" s="37" t="s">
        <v>41</v>
      </c>
      <c r="C7" s="38"/>
      <c r="D7" s="38"/>
      <c r="E7" s="43">
        <f>Q57</f>
        <v>68</v>
      </c>
      <c r="O7" s="18"/>
    </row>
    <row r="8" spans="2:15" ht="21" thickBot="1" x14ac:dyDescent="0.35">
      <c r="B8" s="39" t="s">
        <v>30</v>
      </c>
      <c r="C8" s="40"/>
      <c r="D8" s="40"/>
      <c r="E8" s="44">
        <f>E6+E7</f>
        <v>110</v>
      </c>
      <c r="O8" s="18"/>
    </row>
    <row r="9" spans="2:15" x14ac:dyDescent="0.25">
      <c r="B9" s="19"/>
      <c r="O9" s="18"/>
    </row>
    <row r="10" spans="2:15" x14ac:dyDescent="0.25">
      <c r="B10" s="19"/>
      <c r="O10" s="18"/>
    </row>
    <row r="11" spans="2:15" ht="60.75" customHeight="1" x14ac:dyDescent="0.25">
      <c r="B11" s="95" t="s">
        <v>45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7"/>
    </row>
    <row r="12" spans="2:15" ht="15.75" x14ac:dyDescent="0.25">
      <c r="B12" s="73" t="s">
        <v>33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1"/>
      <c r="O12" s="20"/>
    </row>
    <row r="13" spans="2:15" x14ac:dyDescent="0.25">
      <c r="B13" s="83" t="s">
        <v>1</v>
      </c>
      <c r="C13" s="89" t="s">
        <v>2</v>
      </c>
      <c r="D13" s="89" t="s">
        <v>3</v>
      </c>
      <c r="E13" s="93" t="s">
        <v>4</v>
      </c>
      <c r="F13" s="94"/>
      <c r="G13" s="91" t="s">
        <v>5</v>
      </c>
      <c r="H13" s="87" t="s">
        <v>6</v>
      </c>
      <c r="I13" s="91" t="s">
        <v>7</v>
      </c>
      <c r="J13" s="91" t="s">
        <v>8</v>
      </c>
      <c r="K13" s="89" t="s">
        <v>9</v>
      </c>
      <c r="L13" s="89" t="s">
        <v>10</v>
      </c>
      <c r="M13" s="87" t="s">
        <v>11</v>
      </c>
      <c r="N13" s="87" t="s">
        <v>12</v>
      </c>
      <c r="O13" s="85" t="s">
        <v>13</v>
      </c>
    </row>
    <row r="14" spans="2:15" x14ac:dyDescent="0.25">
      <c r="B14" s="84"/>
      <c r="C14" s="90"/>
      <c r="D14" s="90"/>
      <c r="E14" s="2" t="s">
        <v>14</v>
      </c>
      <c r="F14" s="2" t="s">
        <v>15</v>
      </c>
      <c r="G14" s="92"/>
      <c r="H14" s="88"/>
      <c r="I14" s="92"/>
      <c r="J14" s="92"/>
      <c r="K14" s="90"/>
      <c r="L14" s="90"/>
      <c r="M14" s="88"/>
      <c r="N14" s="88"/>
      <c r="O14" s="86"/>
    </row>
    <row r="15" spans="2:15" x14ac:dyDescent="0.25">
      <c r="B15" s="21">
        <v>45951</v>
      </c>
      <c r="C15" s="3" t="s">
        <v>34</v>
      </c>
      <c r="D15" s="4" t="s">
        <v>38</v>
      </c>
      <c r="E15" s="5">
        <v>5</v>
      </c>
      <c r="F15" s="5">
        <v>0</v>
      </c>
      <c r="G15" s="6" t="s">
        <v>26</v>
      </c>
      <c r="H15" s="5" t="s">
        <v>16</v>
      </c>
      <c r="I15" s="5" t="s">
        <v>16</v>
      </c>
      <c r="J15" s="7" t="s">
        <v>17</v>
      </c>
      <c r="K15" s="14">
        <v>9.7083333333333339</v>
      </c>
      <c r="L15" s="14">
        <v>10.916666666666666</v>
      </c>
      <c r="M15" s="33" t="s">
        <v>18</v>
      </c>
      <c r="N15" s="15">
        <f>(L951-K951)-TIME(9,0,0)</f>
        <v>-0.375</v>
      </c>
      <c r="O15" s="22">
        <f>L15-K15</f>
        <v>1.2083333333333321</v>
      </c>
    </row>
    <row r="16" spans="2:15" ht="30.75" thickBot="1" x14ac:dyDescent="0.3">
      <c r="B16" s="21">
        <v>45951</v>
      </c>
      <c r="C16" s="23" t="s">
        <v>34</v>
      </c>
      <c r="D16" s="4" t="s">
        <v>38</v>
      </c>
      <c r="E16" s="24">
        <v>0</v>
      </c>
      <c r="F16" s="24">
        <v>0</v>
      </c>
      <c r="G16" s="25" t="s">
        <v>20</v>
      </c>
      <c r="H16" s="24" t="s">
        <v>16</v>
      </c>
      <c r="I16" s="24" t="s">
        <v>16</v>
      </c>
      <c r="J16" s="26"/>
      <c r="K16" s="27"/>
      <c r="L16" s="27"/>
      <c r="M16" s="28"/>
      <c r="N16" s="29"/>
      <c r="O16" s="30"/>
    </row>
    <row r="17" spans="2:17" ht="15.75" x14ac:dyDescent="0.25">
      <c r="B17" s="78" t="s">
        <v>33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1"/>
      <c r="O17" s="20"/>
    </row>
    <row r="18" spans="2:17" x14ac:dyDescent="0.25">
      <c r="B18" s="83" t="s">
        <v>1</v>
      </c>
      <c r="C18" s="89" t="s">
        <v>2</v>
      </c>
      <c r="D18" s="89" t="s">
        <v>3</v>
      </c>
      <c r="E18" s="93" t="s">
        <v>4</v>
      </c>
      <c r="F18" s="94"/>
      <c r="G18" s="91" t="s">
        <v>5</v>
      </c>
      <c r="H18" s="87" t="s">
        <v>6</v>
      </c>
      <c r="I18" s="91" t="s">
        <v>7</v>
      </c>
      <c r="J18" s="91" t="s">
        <v>8</v>
      </c>
      <c r="K18" s="89" t="s">
        <v>9</v>
      </c>
      <c r="L18" s="89" t="s">
        <v>10</v>
      </c>
      <c r="M18" s="87" t="s">
        <v>11</v>
      </c>
      <c r="N18" s="87" t="s">
        <v>12</v>
      </c>
      <c r="O18" s="85" t="s">
        <v>13</v>
      </c>
    </row>
    <row r="19" spans="2:17" x14ac:dyDescent="0.25">
      <c r="B19" s="84"/>
      <c r="C19" s="90"/>
      <c r="D19" s="90"/>
      <c r="E19" s="2" t="s">
        <v>14</v>
      </c>
      <c r="F19" s="2" t="s">
        <v>15</v>
      </c>
      <c r="G19" s="92"/>
      <c r="H19" s="88"/>
      <c r="I19" s="92"/>
      <c r="J19" s="92"/>
      <c r="K19" s="90"/>
      <c r="L19" s="90"/>
      <c r="M19" s="88"/>
      <c r="N19" s="88"/>
      <c r="O19" s="86"/>
    </row>
    <row r="20" spans="2:17" x14ac:dyDescent="0.25">
      <c r="B20" s="21">
        <v>45952</v>
      </c>
      <c r="C20" s="3" t="s">
        <v>34</v>
      </c>
      <c r="D20" s="4" t="s">
        <v>38</v>
      </c>
      <c r="E20" s="5">
        <v>5</v>
      </c>
      <c r="F20" s="5">
        <v>0</v>
      </c>
      <c r="G20" s="6" t="s">
        <v>26</v>
      </c>
      <c r="H20" s="5" t="s">
        <v>16</v>
      </c>
      <c r="I20" s="5" t="s">
        <v>16</v>
      </c>
      <c r="J20" s="7" t="s">
        <v>17</v>
      </c>
      <c r="K20" s="14">
        <v>9.7083333333333339</v>
      </c>
      <c r="L20" s="14">
        <v>10.916666666666666</v>
      </c>
      <c r="M20" s="33" t="s">
        <v>27</v>
      </c>
      <c r="N20" s="15">
        <f>(L1042-K1042)-TIME(9,0,0)</f>
        <v>-0.375</v>
      </c>
      <c r="O20" s="22">
        <f>L20-K20</f>
        <v>1.2083333333333321</v>
      </c>
    </row>
    <row r="21" spans="2:17" ht="15.75" thickBot="1" x14ac:dyDescent="0.3">
      <c r="B21" s="21">
        <v>45952</v>
      </c>
      <c r="C21" s="23" t="s">
        <v>34</v>
      </c>
      <c r="D21" s="4" t="s">
        <v>38</v>
      </c>
      <c r="E21" s="24">
        <v>0</v>
      </c>
      <c r="F21" s="24">
        <v>0</v>
      </c>
      <c r="G21" s="25" t="s">
        <v>20</v>
      </c>
      <c r="H21" s="24" t="s">
        <v>16</v>
      </c>
      <c r="I21" s="24" t="s">
        <v>16</v>
      </c>
      <c r="J21" s="26"/>
      <c r="K21" s="27"/>
      <c r="L21" s="27"/>
      <c r="M21" s="34" t="s">
        <v>19</v>
      </c>
      <c r="N21" s="29"/>
      <c r="O21" s="30"/>
    </row>
    <row r="22" spans="2:17" ht="15.75" x14ac:dyDescent="0.25">
      <c r="B22" s="78" t="s">
        <v>33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1"/>
      <c r="O22" s="20"/>
    </row>
    <row r="23" spans="2:17" x14ac:dyDescent="0.25">
      <c r="B23" s="83" t="s">
        <v>1</v>
      </c>
      <c r="C23" s="89" t="s">
        <v>2</v>
      </c>
      <c r="D23" s="89" t="s">
        <v>3</v>
      </c>
      <c r="E23" s="93" t="s">
        <v>4</v>
      </c>
      <c r="F23" s="94"/>
      <c r="G23" s="91" t="s">
        <v>5</v>
      </c>
      <c r="H23" s="87" t="s">
        <v>6</v>
      </c>
      <c r="I23" s="91" t="s">
        <v>7</v>
      </c>
      <c r="J23" s="91" t="s">
        <v>8</v>
      </c>
      <c r="K23" s="89" t="s">
        <v>9</v>
      </c>
      <c r="L23" s="89" t="s">
        <v>10</v>
      </c>
      <c r="M23" s="87" t="s">
        <v>11</v>
      </c>
      <c r="N23" s="87" t="s">
        <v>12</v>
      </c>
      <c r="O23" s="85" t="s">
        <v>13</v>
      </c>
    </row>
    <row r="24" spans="2:17" x14ac:dyDescent="0.25">
      <c r="B24" s="84"/>
      <c r="C24" s="90"/>
      <c r="D24" s="90"/>
      <c r="E24" s="2" t="s">
        <v>14</v>
      </c>
      <c r="F24" s="2" t="s">
        <v>15</v>
      </c>
      <c r="G24" s="92"/>
      <c r="H24" s="88"/>
      <c r="I24" s="92"/>
      <c r="J24" s="92"/>
      <c r="K24" s="90"/>
      <c r="L24" s="90"/>
      <c r="M24" s="88"/>
      <c r="N24" s="88"/>
      <c r="O24" s="86"/>
    </row>
    <row r="25" spans="2:17" x14ac:dyDescent="0.25">
      <c r="B25" s="21">
        <v>45958</v>
      </c>
      <c r="C25" s="3" t="s">
        <v>34</v>
      </c>
      <c r="D25" s="4" t="s">
        <v>38</v>
      </c>
      <c r="E25" s="5">
        <v>16</v>
      </c>
      <c r="F25" s="5">
        <v>0</v>
      </c>
      <c r="G25" s="6" t="s">
        <v>26</v>
      </c>
      <c r="H25" s="5" t="s">
        <v>16</v>
      </c>
      <c r="I25" s="5" t="s">
        <v>16</v>
      </c>
      <c r="J25" s="7" t="s">
        <v>17</v>
      </c>
      <c r="K25" s="14">
        <v>9.2916666666666661</v>
      </c>
      <c r="L25" s="14">
        <v>10.958333333333334</v>
      </c>
      <c r="M25" s="33" t="s">
        <v>18</v>
      </c>
      <c r="N25" s="15">
        <f>(L1047-K1047)-TIME(9,0,0)</f>
        <v>-0.375</v>
      </c>
      <c r="O25" s="22">
        <f>L25-K25</f>
        <v>1.6666666666666679</v>
      </c>
    </row>
    <row r="26" spans="2:17" ht="15.75" thickBot="1" x14ac:dyDescent="0.3">
      <c r="B26" s="21">
        <v>45958</v>
      </c>
      <c r="C26" s="23" t="s">
        <v>34</v>
      </c>
      <c r="D26" s="4" t="s">
        <v>38</v>
      </c>
      <c r="E26" s="24">
        <v>0</v>
      </c>
      <c r="F26" s="24">
        <v>0</v>
      </c>
      <c r="G26" s="25" t="s">
        <v>20</v>
      </c>
      <c r="H26" s="24" t="s">
        <v>16</v>
      </c>
      <c r="I26" s="24" t="s">
        <v>16</v>
      </c>
      <c r="J26" s="26"/>
      <c r="K26" s="27"/>
      <c r="L26" s="27"/>
      <c r="M26" s="34" t="s">
        <v>19</v>
      </c>
      <c r="N26" s="29"/>
      <c r="O26" s="30"/>
    </row>
    <row r="27" spans="2:17" ht="15.75" x14ac:dyDescent="0.25">
      <c r="B27" s="78" t="s">
        <v>33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1"/>
      <c r="O27" s="20"/>
      <c r="P27" s="2" t="s">
        <v>14</v>
      </c>
      <c r="Q27" s="2" t="s">
        <v>15</v>
      </c>
    </row>
    <row r="28" spans="2:17" x14ac:dyDescent="0.25">
      <c r="B28" s="83" t="s">
        <v>1</v>
      </c>
      <c r="C28" s="89" t="s">
        <v>2</v>
      </c>
      <c r="D28" s="89" t="s">
        <v>3</v>
      </c>
      <c r="E28" s="93" t="s">
        <v>4</v>
      </c>
      <c r="F28" s="94"/>
      <c r="G28" s="91" t="s">
        <v>5</v>
      </c>
      <c r="H28" s="87" t="s">
        <v>6</v>
      </c>
      <c r="I28" s="91" t="s">
        <v>7</v>
      </c>
      <c r="J28" s="91" t="s">
        <v>8</v>
      </c>
      <c r="K28" s="89" t="s">
        <v>9</v>
      </c>
      <c r="L28" s="89" t="s">
        <v>10</v>
      </c>
      <c r="M28" s="87" t="s">
        <v>11</v>
      </c>
      <c r="N28" s="87" t="s">
        <v>12</v>
      </c>
      <c r="O28" s="85" t="s">
        <v>13</v>
      </c>
      <c r="P28" s="45">
        <f>SUM(E25,E30,E20,E15)</f>
        <v>42</v>
      </c>
      <c r="Q28" s="45">
        <f>SUM(F25+F30,F20,F15)</f>
        <v>0</v>
      </c>
    </row>
    <row r="29" spans="2:17" x14ac:dyDescent="0.25">
      <c r="B29" s="84"/>
      <c r="C29" s="90"/>
      <c r="D29" s="90"/>
      <c r="E29" s="2" t="s">
        <v>14</v>
      </c>
      <c r="F29" s="2" t="s">
        <v>15</v>
      </c>
      <c r="G29" s="92"/>
      <c r="H29" s="88"/>
      <c r="I29" s="92"/>
      <c r="J29" s="92"/>
      <c r="K29" s="90"/>
      <c r="L29" s="90"/>
      <c r="M29" s="88"/>
      <c r="N29" s="88"/>
      <c r="O29" s="86"/>
      <c r="P29" s="46"/>
      <c r="Q29" s="46">
        <f>Q28/60</f>
        <v>0</v>
      </c>
    </row>
    <row r="30" spans="2:17" x14ac:dyDescent="0.25">
      <c r="B30" s="21">
        <v>45960</v>
      </c>
      <c r="C30" s="3" t="s">
        <v>34</v>
      </c>
      <c r="D30" s="4" t="s">
        <v>38</v>
      </c>
      <c r="E30" s="5">
        <v>16</v>
      </c>
      <c r="F30" s="5">
        <v>0</v>
      </c>
      <c r="G30" s="6" t="s">
        <v>26</v>
      </c>
      <c r="H30" s="5" t="s">
        <v>16</v>
      </c>
      <c r="I30" s="5" t="s">
        <v>16</v>
      </c>
      <c r="J30" s="7" t="s">
        <v>17</v>
      </c>
      <c r="K30" s="14">
        <v>9.2916666666666661</v>
      </c>
      <c r="L30" s="14">
        <v>10.958333333333334</v>
      </c>
      <c r="M30" s="33" t="s">
        <v>28</v>
      </c>
      <c r="N30" s="15">
        <f>(L1052-K1052)-TIME(9,0,0)</f>
        <v>-0.375</v>
      </c>
      <c r="O30" s="22">
        <f>L30-K30</f>
        <v>1.6666666666666679</v>
      </c>
      <c r="P30" s="13" t="s">
        <v>21</v>
      </c>
      <c r="Q30" s="13">
        <f>P28+Q29</f>
        <v>42</v>
      </c>
    </row>
    <row r="31" spans="2:17" ht="15.75" thickBot="1" x14ac:dyDescent="0.3">
      <c r="B31" s="21">
        <v>45960</v>
      </c>
      <c r="C31" s="23" t="s">
        <v>34</v>
      </c>
      <c r="D31" s="4" t="s">
        <v>38</v>
      </c>
      <c r="E31" s="24">
        <v>0</v>
      </c>
      <c r="F31" s="24">
        <v>0</v>
      </c>
      <c r="G31" s="25" t="s">
        <v>20</v>
      </c>
      <c r="H31" s="24" t="s">
        <v>16</v>
      </c>
      <c r="I31" s="24" t="s">
        <v>16</v>
      </c>
      <c r="J31" s="26"/>
      <c r="K31" s="27"/>
      <c r="L31" s="27"/>
      <c r="M31" s="34" t="s">
        <v>19</v>
      </c>
      <c r="N31" s="29"/>
      <c r="O31" s="30"/>
    </row>
    <row r="32" spans="2:17" ht="61.5" x14ac:dyDescent="0.25">
      <c r="B32" s="95" t="s">
        <v>39</v>
      </c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7"/>
    </row>
    <row r="33" spans="2:15" ht="15.75" x14ac:dyDescent="0.25">
      <c r="B33" s="78" t="s">
        <v>33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1"/>
      <c r="O33" s="20"/>
    </row>
    <row r="34" spans="2:15" x14ac:dyDescent="0.25">
      <c r="B34" s="83" t="s">
        <v>1</v>
      </c>
      <c r="C34" s="89" t="s">
        <v>2</v>
      </c>
      <c r="D34" s="89" t="s">
        <v>3</v>
      </c>
      <c r="E34" s="93" t="s">
        <v>4</v>
      </c>
      <c r="F34" s="94"/>
      <c r="G34" s="91" t="s">
        <v>5</v>
      </c>
      <c r="H34" s="87" t="s">
        <v>6</v>
      </c>
      <c r="I34" s="91" t="s">
        <v>7</v>
      </c>
      <c r="J34" s="91" t="s">
        <v>8</v>
      </c>
      <c r="K34" s="89" t="s">
        <v>9</v>
      </c>
      <c r="L34" s="89" t="s">
        <v>10</v>
      </c>
      <c r="M34" s="87" t="s">
        <v>11</v>
      </c>
      <c r="N34" s="87" t="s">
        <v>12</v>
      </c>
      <c r="O34" s="85" t="s">
        <v>13</v>
      </c>
    </row>
    <row r="35" spans="2:15" x14ac:dyDescent="0.25">
      <c r="B35" s="84"/>
      <c r="C35" s="90"/>
      <c r="D35" s="90"/>
      <c r="E35" s="2" t="s">
        <v>14</v>
      </c>
      <c r="F35" s="2" t="s">
        <v>15</v>
      </c>
      <c r="G35" s="92"/>
      <c r="H35" s="88"/>
      <c r="I35" s="92"/>
      <c r="J35" s="92"/>
      <c r="K35" s="90"/>
      <c r="L35" s="90"/>
      <c r="M35" s="88"/>
      <c r="N35" s="88"/>
      <c r="O35" s="86"/>
    </row>
    <row r="36" spans="2:15" x14ac:dyDescent="0.25">
      <c r="B36" s="21">
        <v>45962</v>
      </c>
      <c r="C36" s="3" t="s">
        <v>34</v>
      </c>
      <c r="D36" s="4" t="s">
        <v>38</v>
      </c>
      <c r="E36" s="5">
        <v>16</v>
      </c>
      <c r="F36" s="5">
        <v>0</v>
      </c>
      <c r="G36" s="6" t="s">
        <v>26</v>
      </c>
      <c r="H36" s="5" t="s">
        <v>16</v>
      </c>
      <c r="I36" s="5" t="s">
        <v>16</v>
      </c>
      <c r="J36" s="7" t="s">
        <v>17</v>
      </c>
      <c r="K36" s="14">
        <v>9.2916666666666661</v>
      </c>
      <c r="L36" s="14">
        <v>10.958333333333334</v>
      </c>
      <c r="M36" s="33" t="s">
        <v>22</v>
      </c>
      <c r="N36" s="15">
        <f>(L1058-K1058)-TIME(9,0,0)</f>
        <v>-0.375</v>
      </c>
      <c r="O36" s="22">
        <f>L36-K36</f>
        <v>1.6666666666666679</v>
      </c>
    </row>
    <row r="37" spans="2:15" ht="15.75" thickBot="1" x14ac:dyDescent="0.3">
      <c r="B37" s="21">
        <v>45962</v>
      </c>
      <c r="C37" s="23" t="s">
        <v>34</v>
      </c>
      <c r="D37" s="4" t="s">
        <v>38</v>
      </c>
      <c r="E37" s="24">
        <v>0</v>
      </c>
      <c r="F37" s="24">
        <v>0</v>
      </c>
      <c r="G37" s="25" t="s">
        <v>20</v>
      </c>
      <c r="H37" s="24" t="s">
        <v>16</v>
      </c>
      <c r="I37" s="24" t="s">
        <v>16</v>
      </c>
      <c r="J37" s="26"/>
      <c r="K37" s="27"/>
      <c r="L37" s="27"/>
      <c r="M37" s="34" t="s">
        <v>19</v>
      </c>
      <c r="N37" s="29"/>
      <c r="O37" s="30"/>
    </row>
    <row r="38" spans="2:15" ht="15.75" x14ac:dyDescent="0.25">
      <c r="B38" s="78" t="s">
        <v>33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1"/>
      <c r="O38" s="20"/>
    </row>
    <row r="39" spans="2:15" x14ac:dyDescent="0.25">
      <c r="B39" s="83" t="s">
        <v>1</v>
      </c>
      <c r="C39" s="89" t="s">
        <v>2</v>
      </c>
      <c r="D39" s="89" t="s">
        <v>3</v>
      </c>
      <c r="E39" s="93" t="s">
        <v>4</v>
      </c>
      <c r="F39" s="94"/>
      <c r="G39" s="91" t="s">
        <v>5</v>
      </c>
      <c r="H39" s="87" t="s">
        <v>6</v>
      </c>
      <c r="I39" s="91" t="s">
        <v>7</v>
      </c>
      <c r="J39" s="91" t="s">
        <v>8</v>
      </c>
      <c r="K39" s="89" t="s">
        <v>9</v>
      </c>
      <c r="L39" s="89" t="s">
        <v>10</v>
      </c>
      <c r="M39" s="87" t="s">
        <v>11</v>
      </c>
      <c r="N39" s="87" t="s">
        <v>12</v>
      </c>
      <c r="O39" s="85" t="s">
        <v>13</v>
      </c>
    </row>
    <row r="40" spans="2:15" x14ac:dyDescent="0.25">
      <c r="B40" s="84"/>
      <c r="C40" s="90"/>
      <c r="D40" s="90"/>
      <c r="E40" s="2" t="s">
        <v>14</v>
      </c>
      <c r="F40" s="2" t="s">
        <v>15</v>
      </c>
      <c r="G40" s="92"/>
      <c r="H40" s="88"/>
      <c r="I40" s="92"/>
      <c r="J40" s="92"/>
      <c r="K40" s="90"/>
      <c r="L40" s="90"/>
      <c r="M40" s="88"/>
      <c r="N40" s="88"/>
      <c r="O40" s="86"/>
    </row>
    <row r="41" spans="2:15" x14ac:dyDescent="0.25">
      <c r="B41" s="21">
        <v>45966</v>
      </c>
      <c r="C41" s="3" t="s">
        <v>34</v>
      </c>
      <c r="D41" s="4" t="s">
        <v>38</v>
      </c>
      <c r="E41" s="5">
        <v>16</v>
      </c>
      <c r="F41" s="5">
        <v>0</v>
      </c>
      <c r="G41" s="6" t="s">
        <v>26</v>
      </c>
      <c r="H41" s="5" t="s">
        <v>16</v>
      </c>
      <c r="I41" s="5" t="s">
        <v>16</v>
      </c>
      <c r="J41" s="7" t="s">
        <v>17</v>
      </c>
      <c r="K41" s="14">
        <v>9.2916666666666661</v>
      </c>
      <c r="L41" s="14">
        <v>10.958333333333334</v>
      </c>
      <c r="M41" s="33" t="s">
        <v>27</v>
      </c>
      <c r="N41" s="15">
        <f>(L1063-K1063)-TIME(9,0,0)</f>
        <v>-0.375</v>
      </c>
      <c r="O41" s="22">
        <f>L41-K41</f>
        <v>1.6666666666666679</v>
      </c>
    </row>
    <row r="42" spans="2:15" ht="15.75" thickBot="1" x14ac:dyDescent="0.3">
      <c r="B42" s="21">
        <v>45966</v>
      </c>
      <c r="C42" s="23" t="s">
        <v>34</v>
      </c>
      <c r="D42" s="4" t="s">
        <v>38</v>
      </c>
      <c r="E42" s="24">
        <v>0</v>
      </c>
      <c r="F42" s="24">
        <v>0</v>
      </c>
      <c r="G42" s="25" t="s">
        <v>20</v>
      </c>
      <c r="H42" s="24" t="s">
        <v>16</v>
      </c>
      <c r="I42" s="24" t="s">
        <v>16</v>
      </c>
      <c r="J42" s="26"/>
      <c r="K42" s="27"/>
      <c r="L42" s="27"/>
      <c r="M42" s="34" t="s">
        <v>19</v>
      </c>
      <c r="N42" s="29"/>
      <c r="O42" s="30"/>
    </row>
    <row r="43" spans="2:15" ht="15.75" x14ac:dyDescent="0.25">
      <c r="B43" s="78" t="s">
        <v>33</v>
      </c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1"/>
      <c r="O43" s="20"/>
    </row>
    <row r="44" spans="2:15" x14ac:dyDescent="0.25">
      <c r="B44" s="83" t="s">
        <v>1</v>
      </c>
      <c r="C44" s="89" t="s">
        <v>2</v>
      </c>
      <c r="D44" s="89" t="s">
        <v>3</v>
      </c>
      <c r="E44" s="93" t="s">
        <v>4</v>
      </c>
      <c r="F44" s="94"/>
      <c r="G44" s="91" t="s">
        <v>5</v>
      </c>
      <c r="H44" s="87" t="s">
        <v>6</v>
      </c>
      <c r="I44" s="91" t="s">
        <v>7</v>
      </c>
      <c r="J44" s="91" t="s">
        <v>8</v>
      </c>
      <c r="K44" s="89" t="s">
        <v>9</v>
      </c>
      <c r="L44" s="89" t="s">
        <v>10</v>
      </c>
      <c r="M44" s="87" t="s">
        <v>11</v>
      </c>
      <c r="N44" s="87" t="s">
        <v>12</v>
      </c>
      <c r="O44" s="85" t="s">
        <v>13</v>
      </c>
    </row>
    <row r="45" spans="2:15" x14ac:dyDescent="0.25">
      <c r="B45" s="84"/>
      <c r="C45" s="90"/>
      <c r="D45" s="90"/>
      <c r="E45" s="2" t="s">
        <v>14</v>
      </c>
      <c r="F45" s="2" t="s">
        <v>15</v>
      </c>
      <c r="G45" s="92"/>
      <c r="H45" s="88"/>
      <c r="I45" s="92"/>
      <c r="J45" s="92"/>
      <c r="K45" s="90"/>
      <c r="L45" s="90"/>
      <c r="M45" s="88"/>
      <c r="N45" s="88"/>
      <c r="O45" s="86"/>
    </row>
    <row r="46" spans="2:15" x14ac:dyDescent="0.25">
      <c r="B46" s="21">
        <v>45968</v>
      </c>
      <c r="C46" s="3" t="s">
        <v>34</v>
      </c>
      <c r="D46" s="4" t="s">
        <v>38</v>
      </c>
      <c r="E46" s="5">
        <v>10</v>
      </c>
      <c r="F46" s="5">
        <v>0</v>
      </c>
      <c r="G46" s="6" t="s">
        <v>26</v>
      </c>
      <c r="H46" s="5" t="s">
        <v>16</v>
      </c>
      <c r="I46" s="5" t="s">
        <v>16</v>
      </c>
      <c r="J46" s="7" t="s">
        <v>17</v>
      </c>
      <c r="K46" s="14">
        <v>9.2916666666666661</v>
      </c>
      <c r="L46" s="14">
        <v>10.708333333333334</v>
      </c>
      <c r="M46" s="33" t="s">
        <v>29</v>
      </c>
      <c r="N46" s="15">
        <f>(L1068-K1068)-TIME(9,0,0)</f>
        <v>-0.375</v>
      </c>
      <c r="O46" s="22">
        <f>L46-K46</f>
        <v>1.4166666666666679</v>
      </c>
    </row>
    <row r="47" spans="2:15" ht="15.75" thickBot="1" x14ac:dyDescent="0.3">
      <c r="B47" s="21">
        <v>45968</v>
      </c>
      <c r="C47" s="23" t="s">
        <v>34</v>
      </c>
      <c r="D47" s="4" t="s">
        <v>38</v>
      </c>
      <c r="E47" s="24">
        <v>0</v>
      </c>
      <c r="F47" s="24">
        <v>0</v>
      </c>
      <c r="G47" s="25" t="s">
        <v>20</v>
      </c>
      <c r="H47" s="24" t="s">
        <v>16</v>
      </c>
      <c r="I47" s="24" t="s">
        <v>16</v>
      </c>
      <c r="J47" s="26"/>
      <c r="K47" s="27"/>
      <c r="L47" s="27"/>
      <c r="M47" s="34" t="s">
        <v>19</v>
      </c>
      <c r="N47" s="29"/>
      <c r="O47" s="30"/>
    </row>
    <row r="48" spans="2:15" ht="15.75" x14ac:dyDescent="0.25">
      <c r="B48" s="78" t="s">
        <v>33</v>
      </c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1"/>
      <c r="O48" s="20"/>
    </row>
    <row r="49" spans="2:17" x14ac:dyDescent="0.25">
      <c r="B49" s="83" t="s">
        <v>1</v>
      </c>
      <c r="C49" s="89" t="s">
        <v>2</v>
      </c>
      <c r="D49" s="89" t="s">
        <v>3</v>
      </c>
      <c r="E49" s="93" t="s">
        <v>4</v>
      </c>
      <c r="F49" s="94"/>
      <c r="G49" s="91" t="s">
        <v>5</v>
      </c>
      <c r="H49" s="87" t="s">
        <v>6</v>
      </c>
      <c r="I49" s="91" t="s">
        <v>7</v>
      </c>
      <c r="J49" s="91" t="s">
        <v>8</v>
      </c>
      <c r="K49" s="89" t="s">
        <v>9</v>
      </c>
      <c r="L49" s="89" t="s">
        <v>10</v>
      </c>
      <c r="M49" s="87" t="s">
        <v>11</v>
      </c>
      <c r="N49" s="87" t="s">
        <v>12</v>
      </c>
      <c r="O49" s="85" t="s">
        <v>13</v>
      </c>
    </row>
    <row r="50" spans="2:17" x14ac:dyDescent="0.25">
      <c r="B50" s="84"/>
      <c r="C50" s="90"/>
      <c r="D50" s="90"/>
      <c r="E50" s="2" t="s">
        <v>14</v>
      </c>
      <c r="F50" s="2" t="s">
        <v>15</v>
      </c>
      <c r="G50" s="92"/>
      <c r="H50" s="88"/>
      <c r="I50" s="92"/>
      <c r="J50" s="92"/>
      <c r="K50" s="90"/>
      <c r="L50" s="90"/>
      <c r="M50" s="88"/>
      <c r="N50" s="88"/>
      <c r="O50" s="86"/>
    </row>
    <row r="51" spans="2:17" x14ac:dyDescent="0.25">
      <c r="B51" s="21">
        <v>45969</v>
      </c>
      <c r="C51" s="3" t="s">
        <v>34</v>
      </c>
      <c r="D51" s="4" t="s">
        <v>38</v>
      </c>
      <c r="E51" s="5">
        <v>10</v>
      </c>
      <c r="F51" s="5">
        <v>0</v>
      </c>
      <c r="G51" s="6" t="s">
        <v>26</v>
      </c>
      <c r="H51" s="5" t="s">
        <v>16</v>
      </c>
      <c r="I51" s="5" t="s">
        <v>16</v>
      </c>
      <c r="J51" s="7" t="s">
        <v>17</v>
      </c>
      <c r="K51" s="14">
        <v>9.2916666666666661</v>
      </c>
      <c r="L51" s="14">
        <v>10.708333333333334</v>
      </c>
      <c r="M51" s="33" t="s">
        <v>29</v>
      </c>
      <c r="N51" s="15">
        <f>(L1073-K1073)-TIME(9,0,0)</f>
        <v>-0.375</v>
      </c>
      <c r="O51" s="22">
        <f>L51-K51</f>
        <v>1.4166666666666679</v>
      </c>
    </row>
    <row r="52" spans="2:17" ht="15.75" thickBot="1" x14ac:dyDescent="0.3">
      <c r="B52" s="21">
        <v>45969</v>
      </c>
      <c r="C52" s="23" t="s">
        <v>34</v>
      </c>
      <c r="D52" s="4" t="s">
        <v>38</v>
      </c>
      <c r="E52" s="24">
        <v>0</v>
      </c>
      <c r="F52" s="24">
        <v>0</v>
      </c>
      <c r="G52" s="25" t="s">
        <v>20</v>
      </c>
      <c r="H52" s="24" t="s">
        <v>16</v>
      </c>
      <c r="I52" s="24" t="s">
        <v>16</v>
      </c>
      <c r="J52" s="26"/>
      <c r="K52" s="27"/>
      <c r="L52" s="27"/>
      <c r="M52" s="34" t="s">
        <v>19</v>
      </c>
      <c r="N52" s="29"/>
      <c r="O52" s="30"/>
    </row>
    <row r="53" spans="2:17" ht="15.75" x14ac:dyDescent="0.25">
      <c r="B53" s="78" t="s">
        <v>33</v>
      </c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1"/>
      <c r="O53" s="20"/>
    </row>
    <row r="54" spans="2:17" x14ac:dyDescent="0.25">
      <c r="B54" s="83" t="s">
        <v>1</v>
      </c>
      <c r="C54" s="89" t="s">
        <v>2</v>
      </c>
      <c r="D54" s="89" t="s">
        <v>3</v>
      </c>
      <c r="E54" s="93" t="s">
        <v>4</v>
      </c>
      <c r="F54" s="94"/>
      <c r="G54" s="91" t="s">
        <v>5</v>
      </c>
      <c r="H54" s="87" t="s">
        <v>6</v>
      </c>
      <c r="I54" s="91" t="s">
        <v>7</v>
      </c>
      <c r="J54" s="91" t="s">
        <v>8</v>
      </c>
      <c r="K54" s="89" t="s">
        <v>9</v>
      </c>
      <c r="L54" s="89" t="s">
        <v>10</v>
      </c>
      <c r="M54" s="87" t="s">
        <v>11</v>
      </c>
      <c r="N54" s="87" t="s">
        <v>12</v>
      </c>
      <c r="O54" s="85" t="s">
        <v>13</v>
      </c>
      <c r="P54" s="2" t="s">
        <v>14</v>
      </c>
      <c r="Q54" s="2" t="s">
        <v>15</v>
      </c>
    </row>
    <row r="55" spans="2:17" x14ac:dyDescent="0.25">
      <c r="B55" s="84"/>
      <c r="C55" s="90"/>
      <c r="D55" s="90"/>
      <c r="E55" s="2" t="s">
        <v>14</v>
      </c>
      <c r="F55" s="2" t="s">
        <v>15</v>
      </c>
      <c r="G55" s="92"/>
      <c r="H55" s="88"/>
      <c r="I55" s="92"/>
      <c r="J55" s="92"/>
      <c r="K55" s="90"/>
      <c r="L55" s="90"/>
      <c r="M55" s="88"/>
      <c r="N55" s="88"/>
      <c r="O55" s="86"/>
      <c r="P55" s="45">
        <f>SUM(E51,E56,E46,E41,E36)</f>
        <v>68</v>
      </c>
      <c r="Q55" s="45">
        <f>SUM(F51,F56,F46,F41,F36)</f>
        <v>0</v>
      </c>
    </row>
    <row r="56" spans="2:17" x14ac:dyDescent="0.25">
      <c r="B56" s="21">
        <v>45972</v>
      </c>
      <c r="C56" s="3" t="s">
        <v>34</v>
      </c>
      <c r="D56" s="4" t="s">
        <v>38</v>
      </c>
      <c r="E56" s="5">
        <v>16</v>
      </c>
      <c r="F56" s="5">
        <v>0</v>
      </c>
      <c r="G56" s="6" t="s">
        <v>26</v>
      </c>
      <c r="H56" s="5" t="s">
        <v>16</v>
      </c>
      <c r="I56" s="5" t="s">
        <v>16</v>
      </c>
      <c r="J56" s="7" t="s">
        <v>17</v>
      </c>
      <c r="K56" s="14">
        <v>9.2916666666666661</v>
      </c>
      <c r="L56" s="14">
        <v>10.958333333333334</v>
      </c>
      <c r="M56" s="33" t="s">
        <v>18</v>
      </c>
      <c r="N56" s="15">
        <f>(L1078-K1078)-TIME(9,0,0)</f>
        <v>-0.375</v>
      </c>
      <c r="O56" s="22">
        <f>L56-K56</f>
        <v>1.6666666666666679</v>
      </c>
      <c r="P56" s="46"/>
      <c r="Q56" s="46">
        <f>Q55/60</f>
        <v>0</v>
      </c>
    </row>
    <row r="57" spans="2:17" ht="15.75" thickBot="1" x14ac:dyDescent="0.3">
      <c r="B57" s="21">
        <v>45972</v>
      </c>
      <c r="C57" s="23" t="s">
        <v>34</v>
      </c>
      <c r="D57" s="4" t="s">
        <v>38</v>
      </c>
      <c r="E57" s="24">
        <v>0</v>
      </c>
      <c r="F57" s="24">
        <v>0</v>
      </c>
      <c r="G57" s="25" t="s">
        <v>20</v>
      </c>
      <c r="H57" s="24" t="s">
        <v>16</v>
      </c>
      <c r="I57" s="24" t="s">
        <v>16</v>
      </c>
      <c r="J57" s="26"/>
      <c r="K57" s="27"/>
      <c r="L57" s="27"/>
      <c r="M57" s="34" t="s">
        <v>19</v>
      </c>
      <c r="N57" s="29"/>
      <c r="O57" s="30"/>
      <c r="P57" s="13" t="s">
        <v>21</v>
      </c>
      <c r="Q57" s="13">
        <f>P55+Q56</f>
        <v>68</v>
      </c>
    </row>
    <row r="58" spans="2:17" ht="61.5" x14ac:dyDescent="0.25">
      <c r="B58" s="95" t="s">
        <v>47</v>
      </c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7"/>
    </row>
    <row r="59" spans="2:17" ht="15.75" x14ac:dyDescent="0.25">
      <c r="B59" s="78" t="s">
        <v>33</v>
      </c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1"/>
      <c r="O59" s="20"/>
    </row>
    <row r="60" spans="2:17" x14ac:dyDescent="0.25">
      <c r="B60" s="83" t="s">
        <v>1</v>
      </c>
      <c r="C60" s="89" t="s">
        <v>2</v>
      </c>
      <c r="D60" s="89" t="s">
        <v>3</v>
      </c>
      <c r="E60" s="93" t="s">
        <v>4</v>
      </c>
      <c r="F60" s="94"/>
      <c r="G60" s="91" t="s">
        <v>5</v>
      </c>
      <c r="H60" s="87" t="s">
        <v>6</v>
      </c>
      <c r="I60" s="91" t="s">
        <v>7</v>
      </c>
      <c r="J60" s="91" t="s">
        <v>8</v>
      </c>
      <c r="K60" s="89" t="s">
        <v>9</v>
      </c>
      <c r="L60" s="89" t="s">
        <v>10</v>
      </c>
      <c r="M60" s="87" t="s">
        <v>11</v>
      </c>
      <c r="N60" s="87" t="s">
        <v>12</v>
      </c>
      <c r="O60" s="85" t="s">
        <v>13</v>
      </c>
    </row>
    <row r="61" spans="2:17" x14ac:dyDescent="0.25">
      <c r="B61" s="84"/>
      <c r="C61" s="90"/>
      <c r="D61" s="90"/>
      <c r="E61" s="2" t="s">
        <v>14</v>
      </c>
      <c r="F61" s="2" t="s">
        <v>15</v>
      </c>
      <c r="G61" s="92"/>
      <c r="H61" s="88"/>
      <c r="I61" s="92"/>
      <c r="J61" s="92"/>
      <c r="K61" s="90"/>
      <c r="L61" s="90"/>
      <c r="M61" s="88"/>
      <c r="N61" s="88"/>
      <c r="O61" s="86"/>
    </row>
    <row r="62" spans="2:17" x14ac:dyDescent="0.25">
      <c r="B62" s="21">
        <v>46001</v>
      </c>
      <c r="C62" s="3" t="s">
        <v>34</v>
      </c>
      <c r="D62" s="4" t="s">
        <v>38</v>
      </c>
      <c r="E62" s="5">
        <v>7</v>
      </c>
      <c r="F62" s="5">
        <v>0</v>
      </c>
      <c r="G62" s="6" t="s">
        <v>26</v>
      </c>
      <c r="H62" s="5" t="s">
        <v>16</v>
      </c>
      <c r="I62" s="5" t="s">
        <v>16</v>
      </c>
      <c r="J62" s="7" t="s">
        <v>17</v>
      </c>
      <c r="K62" s="14">
        <v>9.5833333333333339</v>
      </c>
      <c r="L62" s="14">
        <v>10.875</v>
      </c>
      <c r="M62" s="33" t="s">
        <v>27</v>
      </c>
      <c r="N62" s="15">
        <f>(L1084-K1084)-TIME(9,0,0)</f>
        <v>-0.375</v>
      </c>
      <c r="O62" s="22">
        <f>L62-K62</f>
        <v>1.2916666666666661</v>
      </c>
    </row>
    <row r="63" spans="2:17" ht="15.75" thickBot="1" x14ac:dyDescent="0.3">
      <c r="B63" s="21">
        <v>46001</v>
      </c>
      <c r="C63" s="23" t="s">
        <v>34</v>
      </c>
      <c r="D63" s="4" t="s">
        <v>38</v>
      </c>
      <c r="E63" s="24">
        <v>0</v>
      </c>
      <c r="F63" s="24">
        <v>0</v>
      </c>
      <c r="G63" s="25" t="s">
        <v>20</v>
      </c>
      <c r="H63" s="24" t="s">
        <v>16</v>
      </c>
      <c r="I63" s="24" t="s">
        <v>16</v>
      </c>
      <c r="J63" s="26"/>
      <c r="K63" s="27"/>
      <c r="L63" s="27"/>
      <c r="M63" s="34" t="s">
        <v>19</v>
      </c>
      <c r="N63" s="29"/>
      <c r="O63" s="30"/>
    </row>
    <row r="64" spans="2:17" ht="15.75" x14ac:dyDescent="0.25">
      <c r="B64" s="78" t="s">
        <v>33</v>
      </c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1"/>
      <c r="O64" s="20"/>
    </row>
    <row r="65" spans="2:17" x14ac:dyDescent="0.25">
      <c r="B65" s="83" t="s">
        <v>1</v>
      </c>
      <c r="C65" s="89" t="s">
        <v>2</v>
      </c>
      <c r="D65" s="89" t="s">
        <v>3</v>
      </c>
      <c r="E65" s="93" t="s">
        <v>4</v>
      </c>
      <c r="F65" s="94"/>
      <c r="G65" s="91" t="s">
        <v>5</v>
      </c>
      <c r="H65" s="87" t="s">
        <v>6</v>
      </c>
      <c r="I65" s="91" t="s">
        <v>7</v>
      </c>
      <c r="J65" s="91" t="s">
        <v>8</v>
      </c>
      <c r="K65" s="89" t="s">
        <v>9</v>
      </c>
      <c r="L65" s="89" t="s">
        <v>10</v>
      </c>
      <c r="M65" s="87" t="s">
        <v>11</v>
      </c>
      <c r="N65" s="87" t="s">
        <v>12</v>
      </c>
      <c r="O65" s="85" t="s">
        <v>13</v>
      </c>
      <c r="P65" s="2" t="s">
        <v>14</v>
      </c>
      <c r="Q65" s="2" t="s">
        <v>15</v>
      </c>
    </row>
    <row r="66" spans="2:17" x14ac:dyDescent="0.25">
      <c r="B66" s="84"/>
      <c r="C66" s="90"/>
      <c r="D66" s="90"/>
      <c r="E66" s="2" t="s">
        <v>14</v>
      </c>
      <c r="F66" s="2" t="s">
        <v>15</v>
      </c>
      <c r="G66" s="92"/>
      <c r="H66" s="88"/>
      <c r="I66" s="92"/>
      <c r="J66" s="92"/>
      <c r="K66" s="90"/>
      <c r="L66" s="90"/>
      <c r="M66" s="88"/>
      <c r="N66" s="88"/>
      <c r="O66" s="86"/>
      <c r="P66" s="45">
        <f>SUM(E62,E67)</f>
        <v>15</v>
      </c>
      <c r="Q66" s="45">
        <f>SUM(F62,F67)</f>
        <v>0</v>
      </c>
    </row>
    <row r="67" spans="2:17" x14ac:dyDescent="0.25">
      <c r="B67" s="21">
        <v>46003</v>
      </c>
      <c r="C67" s="3" t="s">
        <v>34</v>
      </c>
      <c r="D67" s="4" t="s">
        <v>38</v>
      </c>
      <c r="E67" s="5">
        <v>8</v>
      </c>
      <c r="F67" s="5">
        <v>0</v>
      </c>
      <c r="G67" s="6" t="s">
        <v>26</v>
      </c>
      <c r="H67" s="5" t="s">
        <v>16</v>
      </c>
      <c r="I67" s="5" t="s">
        <v>16</v>
      </c>
      <c r="J67" s="7" t="s">
        <v>17</v>
      </c>
      <c r="K67" s="14">
        <v>9.2916666666666661</v>
      </c>
      <c r="L67" s="14">
        <v>10.625</v>
      </c>
      <c r="M67" s="33" t="s">
        <v>29</v>
      </c>
      <c r="N67" s="15">
        <f>(L1089-K1089)-TIME(9,0,0)</f>
        <v>-0.375</v>
      </c>
      <c r="O67" s="22">
        <f>L67-K67</f>
        <v>1.3333333333333339</v>
      </c>
      <c r="P67" s="46"/>
      <c r="Q67" s="46">
        <f>Q66/60</f>
        <v>0</v>
      </c>
    </row>
    <row r="68" spans="2:17" ht="15.75" thickBot="1" x14ac:dyDescent="0.3">
      <c r="B68" s="21">
        <v>46003</v>
      </c>
      <c r="C68" s="23" t="s">
        <v>34</v>
      </c>
      <c r="D68" s="4" t="s">
        <v>38</v>
      </c>
      <c r="E68" s="24">
        <v>0</v>
      </c>
      <c r="F68" s="24">
        <v>0</v>
      </c>
      <c r="G68" s="25" t="s">
        <v>20</v>
      </c>
      <c r="H68" s="24" t="s">
        <v>16</v>
      </c>
      <c r="I68" s="24" t="s">
        <v>16</v>
      </c>
      <c r="J68" s="26"/>
      <c r="K68" s="27"/>
      <c r="L68" s="27"/>
      <c r="M68" s="34" t="s">
        <v>19</v>
      </c>
      <c r="N68" s="29"/>
      <c r="O68" s="30"/>
      <c r="P68" s="13" t="s">
        <v>21</v>
      </c>
      <c r="Q68" s="13">
        <f>P66+Q67</f>
        <v>15</v>
      </c>
    </row>
    <row r="69" spans="2:17" x14ac:dyDescent="0.25">
      <c r="B69" s="9"/>
      <c r="C69" s="8"/>
      <c r="D69" s="9"/>
      <c r="E69" s="10">
        <f>SUM(E67:E68)</f>
        <v>8</v>
      </c>
      <c r="F69" s="10">
        <f>SUM(F67:F68)</f>
        <v>0</v>
      </c>
      <c r="G69" s="11"/>
      <c r="H69" s="11"/>
      <c r="I69" s="11"/>
      <c r="J69" s="11"/>
      <c r="K69" s="12"/>
      <c r="L69" s="12"/>
      <c r="M69" s="9"/>
      <c r="N69" s="9"/>
      <c r="O69" s="9"/>
    </row>
    <row r="70" spans="2:17" x14ac:dyDescent="0.25">
      <c r="B70" s="8"/>
      <c r="C70" s="8"/>
      <c r="D70" s="9"/>
      <c r="E70" s="11"/>
      <c r="F70" s="11">
        <f>F69/60</f>
        <v>0</v>
      </c>
      <c r="G70" s="11"/>
      <c r="H70" s="11"/>
      <c r="I70" s="11"/>
      <c r="J70" s="11"/>
      <c r="K70" s="12"/>
      <c r="L70" s="12"/>
      <c r="M70" s="9"/>
      <c r="N70" s="9"/>
      <c r="O70" s="9"/>
    </row>
    <row r="71" spans="2:17" x14ac:dyDescent="0.25">
      <c r="B71" s="8"/>
      <c r="C71" s="8"/>
      <c r="D71" s="9"/>
      <c r="E71" s="13" t="s">
        <v>21</v>
      </c>
      <c r="F71" s="13">
        <f>E69+F70</f>
        <v>8</v>
      </c>
      <c r="G71" s="11"/>
      <c r="H71" s="11"/>
      <c r="I71" s="11"/>
      <c r="J71" s="11"/>
      <c r="K71" s="12"/>
      <c r="L71" s="12"/>
      <c r="M71" s="9"/>
      <c r="N71" s="9"/>
      <c r="O71" s="41"/>
    </row>
  </sheetData>
  <mergeCells count="157">
    <mergeCell ref="N49:N50"/>
    <mergeCell ref="O49:O50"/>
    <mergeCell ref="H39:H40"/>
    <mergeCell ref="I39:I40"/>
    <mergeCell ref="J39:J40"/>
    <mergeCell ref="K39:K40"/>
    <mergeCell ref="L39:L40"/>
    <mergeCell ref="M39:M40"/>
    <mergeCell ref="B48:M48"/>
    <mergeCell ref="B49:B50"/>
    <mergeCell ref="C49:C50"/>
    <mergeCell ref="D49:D50"/>
    <mergeCell ref="E49:F49"/>
    <mergeCell ref="G49:G50"/>
    <mergeCell ref="H49:H50"/>
    <mergeCell ref="I49:I50"/>
    <mergeCell ref="J49:J50"/>
    <mergeCell ref="K49:K50"/>
    <mergeCell ref="L49:L50"/>
    <mergeCell ref="M49:M50"/>
    <mergeCell ref="J44:J45"/>
    <mergeCell ref="K44:K45"/>
    <mergeCell ref="L44:L45"/>
    <mergeCell ref="M44:M45"/>
    <mergeCell ref="N44:N45"/>
    <mergeCell ref="O44:O45"/>
    <mergeCell ref="N39:N40"/>
    <mergeCell ref="O39:O40"/>
    <mergeCell ref="B43:M43"/>
    <mergeCell ref="B44:B45"/>
    <mergeCell ref="C44:C45"/>
    <mergeCell ref="D44:D45"/>
    <mergeCell ref="E44:F44"/>
    <mergeCell ref="G44:G45"/>
    <mergeCell ref="H44:H45"/>
    <mergeCell ref="I44:I45"/>
    <mergeCell ref="L34:L35"/>
    <mergeCell ref="M34:M35"/>
    <mergeCell ref="N34:N35"/>
    <mergeCell ref="O34:O35"/>
    <mergeCell ref="B38:M38"/>
    <mergeCell ref="B39:B40"/>
    <mergeCell ref="C39:C40"/>
    <mergeCell ref="D39:D40"/>
    <mergeCell ref="E39:F39"/>
    <mergeCell ref="G39:G40"/>
    <mergeCell ref="B34:B35"/>
    <mergeCell ref="C34:C35"/>
    <mergeCell ref="D34:D35"/>
    <mergeCell ref="E34:F34"/>
    <mergeCell ref="G34:G35"/>
    <mergeCell ref="H34:H35"/>
    <mergeCell ref="I34:I35"/>
    <mergeCell ref="J34:J35"/>
    <mergeCell ref="K34:K35"/>
    <mergeCell ref="J13:J14"/>
    <mergeCell ref="K13:K14"/>
    <mergeCell ref="L13:L14"/>
    <mergeCell ref="M13:M14"/>
    <mergeCell ref="N13:N14"/>
    <mergeCell ref="O13:O14"/>
    <mergeCell ref="B11:O11"/>
    <mergeCell ref="B12:M12"/>
    <mergeCell ref="B13:B14"/>
    <mergeCell ref="C13:C14"/>
    <mergeCell ref="D13:D14"/>
    <mergeCell ref="E13:F13"/>
    <mergeCell ref="G13:G14"/>
    <mergeCell ref="H13:H14"/>
    <mergeCell ref="I13:I14"/>
    <mergeCell ref="O23:O24"/>
    <mergeCell ref="B27:M27"/>
    <mergeCell ref="B22:M22"/>
    <mergeCell ref="B23:B24"/>
    <mergeCell ref="C23:C24"/>
    <mergeCell ref="D23:D24"/>
    <mergeCell ref="E23:F23"/>
    <mergeCell ref="G23:G24"/>
    <mergeCell ref="H23:H24"/>
    <mergeCell ref="I23:I24"/>
    <mergeCell ref="J23:J24"/>
    <mergeCell ref="K23:K24"/>
    <mergeCell ref="L23:L24"/>
    <mergeCell ref="M23:M24"/>
    <mergeCell ref="N23:N24"/>
    <mergeCell ref="B17:M17"/>
    <mergeCell ref="O18:O19"/>
    <mergeCell ref="N18:N19"/>
    <mergeCell ref="M18:M19"/>
    <mergeCell ref="L18:L19"/>
    <mergeCell ref="K18:K19"/>
    <mergeCell ref="J18:J19"/>
    <mergeCell ref="I18:I19"/>
    <mergeCell ref="H18:H19"/>
    <mergeCell ref="G18:G19"/>
    <mergeCell ref="K54:K55"/>
    <mergeCell ref="J54:J55"/>
    <mergeCell ref="I54:I55"/>
    <mergeCell ref="H54:H55"/>
    <mergeCell ref="G54:G55"/>
    <mergeCell ref="E18:F18"/>
    <mergeCell ref="D18:D19"/>
    <mergeCell ref="C18:C19"/>
    <mergeCell ref="B18:B19"/>
    <mergeCell ref="C28:C29"/>
    <mergeCell ref="D28:D29"/>
    <mergeCell ref="E28:F28"/>
    <mergeCell ref="G28:G29"/>
    <mergeCell ref="H28:H29"/>
    <mergeCell ref="B32:O32"/>
    <mergeCell ref="O28:O29"/>
    <mergeCell ref="I28:I29"/>
    <mergeCell ref="J28:J29"/>
    <mergeCell ref="K28:K29"/>
    <mergeCell ref="L28:L29"/>
    <mergeCell ref="M28:M29"/>
    <mergeCell ref="N28:N29"/>
    <mergeCell ref="B28:B29"/>
    <mergeCell ref="B33:M33"/>
    <mergeCell ref="E54:F54"/>
    <mergeCell ref="D54:D55"/>
    <mergeCell ref="C54:C55"/>
    <mergeCell ref="B54:B55"/>
    <mergeCell ref="B53:M53"/>
    <mergeCell ref="B59:M59"/>
    <mergeCell ref="B58:O58"/>
    <mergeCell ref="B64:M64"/>
    <mergeCell ref="O60:O61"/>
    <mergeCell ref="N60:N61"/>
    <mergeCell ref="M60:M61"/>
    <mergeCell ref="L60:L61"/>
    <mergeCell ref="K60:K61"/>
    <mergeCell ref="J60:J61"/>
    <mergeCell ref="I60:I61"/>
    <mergeCell ref="H60:H61"/>
    <mergeCell ref="G60:G61"/>
    <mergeCell ref="E60:F60"/>
    <mergeCell ref="D60:D61"/>
    <mergeCell ref="C60:C61"/>
    <mergeCell ref="O54:O55"/>
    <mergeCell ref="N54:N55"/>
    <mergeCell ref="M54:M55"/>
    <mergeCell ref="L54:L55"/>
    <mergeCell ref="B60:B61"/>
    <mergeCell ref="O65:O66"/>
    <mergeCell ref="N65:N66"/>
    <mergeCell ref="M65:M66"/>
    <mergeCell ref="L65:L66"/>
    <mergeCell ref="K65:K66"/>
    <mergeCell ref="J65:J66"/>
    <mergeCell ref="I65:I66"/>
    <mergeCell ref="H65:H66"/>
    <mergeCell ref="G65:G66"/>
    <mergeCell ref="E65:F65"/>
    <mergeCell ref="D65:D66"/>
    <mergeCell ref="C65:C66"/>
    <mergeCell ref="B65:B66"/>
  </mergeCells>
  <pageMargins left="0.25" right="0.25" top="0.75" bottom="0.75" header="0.3" footer="0.3"/>
  <pageSetup scale="56" fitToHeight="0" orientation="portrait" r:id="rId1"/>
  <rowBreaks count="1" manualBreakCount="1">
    <brk id="10" min="1" max="14" man="1"/>
  </rowBreaks>
  <colBreaks count="1" manualBreakCount="1">
    <brk id="15" max="17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149B-A671-4353-AEA1-947131FA7AD3}">
  <sheetPr>
    <pageSetUpPr fitToPage="1"/>
  </sheetPr>
  <dimension ref="B2:Q111"/>
  <sheetViews>
    <sheetView view="pageBreakPreview" topLeftCell="A82" zoomScale="85" zoomScaleNormal="100" zoomScaleSheetLayoutView="85" workbookViewId="0">
      <selection activeCell="B110" sqref="B110"/>
    </sheetView>
  </sheetViews>
  <sheetFormatPr defaultColWidth="23.5703125" defaultRowHeight="15" x14ac:dyDescent="0.25"/>
  <cols>
    <col min="2" max="2" width="19.42578125" style="47" customWidth="1"/>
    <col min="3" max="3" width="8.85546875" customWidth="1"/>
    <col min="4" max="4" width="35" customWidth="1"/>
    <col min="5" max="5" width="14.42578125" bestFit="1" customWidth="1"/>
    <col min="6" max="6" width="9.28515625" bestFit="1" customWidth="1"/>
    <col min="7" max="7" width="31" customWidth="1"/>
    <col min="8" max="8" width="31" hidden="1" customWidth="1"/>
    <col min="9" max="9" width="21.42578125" hidden="1" customWidth="1"/>
    <col min="10" max="10" width="12.42578125" customWidth="1"/>
    <col min="11" max="11" width="13.28515625" customWidth="1"/>
    <col min="12" max="12" width="14" customWidth="1"/>
    <col min="13" max="13" width="13.7109375" customWidth="1"/>
    <col min="14" max="14" width="8" hidden="1" customWidth="1"/>
    <col min="15" max="15" width="16" bestFit="1" customWidth="1"/>
  </cols>
  <sheetData>
    <row r="2" spans="2:15" ht="15.75" thickBot="1" x14ac:dyDescent="0.3"/>
    <row r="3" spans="2:15" ht="20.25" x14ac:dyDescent="0.3">
      <c r="B3" s="48" t="s">
        <v>44</v>
      </c>
      <c r="C3" s="36"/>
      <c r="D3" s="36"/>
      <c r="E3" s="31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2:15" ht="20.25" x14ac:dyDescent="0.3">
      <c r="B4" s="49" t="s">
        <v>42</v>
      </c>
      <c r="C4" s="38" t="s">
        <v>43</v>
      </c>
      <c r="D4" s="38"/>
      <c r="E4" s="32"/>
      <c r="O4" s="18"/>
    </row>
    <row r="5" spans="2:15" ht="20.25" x14ac:dyDescent="0.3">
      <c r="B5" s="49" t="s">
        <v>35</v>
      </c>
      <c r="C5" s="38"/>
      <c r="D5" s="38"/>
      <c r="E5" s="32"/>
      <c r="O5" s="18"/>
    </row>
    <row r="6" spans="2:15" ht="20.25" x14ac:dyDescent="0.3">
      <c r="B6" s="49" t="s">
        <v>40</v>
      </c>
      <c r="C6" s="38"/>
      <c r="D6" s="38"/>
      <c r="E6" s="42">
        <f>Q41</f>
        <v>70</v>
      </c>
      <c r="O6" s="18"/>
    </row>
    <row r="7" spans="2:15" ht="20.25" x14ac:dyDescent="0.3">
      <c r="B7" s="49" t="s">
        <v>41</v>
      </c>
      <c r="C7" s="38"/>
      <c r="D7" s="38"/>
      <c r="E7" s="43">
        <f>Q57</f>
        <v>42</v>
      </c>
      <c r="O7" s="18"/>
    </row>
    <row r="8" spans="2:15" ht="21" thickBot="1" x14ac:dyDescent="0.35">
      <c r="B8" s="50" t="s">
        <v>30</v>
      </c>
      <c r="C8" s="40"/>
      <c r="D8" s="40"/>
      <c r="E8" s="44">
        <f>E6+E7</f>
        <v>112</v>
      </c>
      <c r="O8" s="18"/>
    </row>
    <row r="9" spans="2:15" x14ac:dyDescent="0.25">
      <c r="B9" s="51"/>
      <c r="O9" s="18"/>
    </row>
    <row r="10" spans="2:15" x14ac:dyDescent="0.25">
      <c r="B10" s="51"/>
      <c r="O10" s="18"/>
    </row>
    <row r="11" spans="2:15" ht="61.5" x14ac:dyDescent="0.25">
      <c r="B11" s="95" t="s">
        <v>37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7"/>
    </row>
    <row r="12" spans="2:15" ht="15.75" x14ac:dyDescent="0.25">
      <c r="B12" s="73" t="s">
        <v>35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1"/>
      <c r="O12" s="20"/>
    </row>
    <row r="13" spans="2:15" x14ac:dyDescent="0.25">
      <c r="B13" s="100" t="s">
        <v>1</v>
      </c>
      <c r="C13" s="89" t="s">
        <v>2</v>
      </c>
      <c r="D13" s="89" t="s">
        <v>3</v>
      </c>
      <c r="E13" s="93" t="s">
        <v>4</v>
      </c>
      <c r="F13" s="94"/>
      <c r="G13" s="91" t="s">
        <v>5</v>
      </c>
      <c r="H13" s="87" t="s">
        <v>6</v>
      </c>
      <c r="I13" s="91" t="s">
        <v>7</v>
      </c>
      <c r="J13" s="91" t="s">
        <v>8</v>
      </c>
      <c r="K13" s="89" t="s">
        <v>9</v>
      </c>
      <c r="L13" s="89" t="s">
        <v>10</v>
      </c>
      <c r="M13" s="87" t="s">
        <v>11</v>
      </c>
      <c r="N13" s="87" t="s">
        <v>12</v>
      </c>
      <c r="O13" s="85" t="s">
        <v>13</v>
      </c>
    </row>
    <row r="14" spans="2:15" x14ac:dyDescent="0.25">
      <c r="B14" s="101"/>
      <c r="C14" s="90"/>
      <c r="D14" s="90"/>
      <c r="E14" s="2" t="s">
        <v>14</v>
      </c>
      <c r="F14" s="2" t="s">
        <v>15</v>
      </c>
      <c r="G14" s="92"/>
      <c r="H14" s="88"/>
      <c r="I14" s="92"/>
      <c r="J14" s="92"/>
      <c r="K14" s="90"/>
      <c r="L14" s="90"/>
      <c r="M14" s="88"/>
      <c r="N14" s="88"/>
      <c r="O14" s="86"/>
    </row>
    <row r="15" spans="2:15" x14ac:dyDescent="0.25">
      <c r="B15" s="52">
        <v>45949</v>
      </c>
      <c r="C15" s="3" t="s">
        <v>36</v>
      </c>
      <c r="D15" s="4" t="s">
        <v>38</v>
      </c>
      <c r="E15" s="5">
        <v>12</v>
      </c>
      <c r="F15" s="5">
        <v>0</v>
      </c>
      <c r="G15" s="6" t="s">
        <v>26</v>
      </c>
      <c r="H15" s="5" t="s">
        <v>16</v>
      </c>
      <c r="I15" s="5" t="s">
        <v>16</v>
      </c>
      <c r="J15" s="7" t="s">
        <v>17</v>
      </c>
      <c r="K15" s="14">
        <v>9.3333333333333339</v>
      </c>
      <c r="L15" s="14">
        <v>10.833333333333334</v>
      </c>
      <c r="M15" s="33" t="s">
        <v>23</v>
      </c>
      <c r="N15" s="15">
        <f>(L1037-K1037)-TIME(9,0,0)</f>
        <v>-0.375</v>
      </c>
      <c r="O15" s="22">
        <f>L15-K15</f>
        <v>1.5</v>
      </c>
    </row>
    <row r="16" spans="2:15" ht="15.75" thickBot="1" x14ac:dyDescent="0.3">
      <c r="B16" s="52">
        <v>45949</v>
      </c>
      <c r="C16" s="23" t="s">
        <v>36</v>
      </c>
      <c r="D16" s="4" t="s">
        <v>38</v>
      </c>
      <c r="E16" s="24">
        <v>0</v>
      </c>
      <c r="F16" s="24">
        <v>0</v>
      </c>
      <c r="G16" s="25" t="s">
        <v>20</v>
      </c>
      <c r="H16" s="24" t="s">
        <v>16</v>
      </c>
      <c r="I16" s="24" t="s">
        <v>16</v>
      </c>
      <c r="J16" s="26"/>
      <c r="K16" s="27"/>
      <c r="L16" s="27"/>
      <c r="M16" s="34" t="s">
        <v>19</v>
      </c>
      <c r="N16" s="29"/>
      <c r="O16" s="30"/>
    </row>
    <row r="17" spans="2:15" ht="15.75" x14ac:dyDescent="0.25">
      <c r="B17" s="73" t="s">
        <v>35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1"/>
      <c r="O17" s="20"/>
    </row>
    <row r="18" spans="2:15" x14ac:dyDescent="0.25">
      <c r="B18" s="100" t="s">
        <v>1</v>
      </c>
      <c r="C18" s="89" t="s">
        <v>2</v>
      </c>
      <c r="D18" s="89" t="s">
        <v>3</v>
      </c>
      <c r="E18" s="93" t="s">
        <v>4</v>
      </c>
      <c r="F18" s="94"/>
      <c r="G18" s="91" t="s">
        <v>5</v>
      </c>
      <c r="H18" s="87" t="s">
        <v>6</v>
      </c>
      <c r="I18" s="91" t="s">
        <v>7</v>
      </c>
      <c r="J18" s="91" t="s">
        <v>8</v>
      </c>
      <c r="K18" s="89" t="s">
        <v>9</v>
      </c>
      <c r="L18" s="89" t="s">
        <v>10</v>
      </c>
      <c r="M18" s="87" t="s">
        <v>11</v>
      </c>
      <c r="N18" s="87" t="s">
        <v>12</v>
      </c>
      <c r="O18" s="85" t="s">
        <v>13</v>
      </c>
    </row>
    <row r="19" spans="2:15" x14ac:dyDescent="0.25">
      <c r="B19" s="101"/>
      <c r="C19" s="90"/>
      <c r="D19" s="90"/>
      <c r="E19" s="2" t="s">
        <v>14</v>
      </c>
      <c r="F19" s="2" t="s">
        <v>15</v>
      </c>
      <c r="G19" s="92"/>
      <c r="H19" s="88"/>
      <c r="I19" s="92"/>
      <c r="J19" s="92"/>
      <c r="K19" s="90"/>
      <c r="L19" s="90"/>
      <c r="M19" s="88"/>
      <c r="N19" s="88"/>
      <c r="O19" s="86"/>
    </row>
    <row r="20" spans="2:15" x14ac:dyDescent="0.25">
      <c r="B20" s="52">
        <v>45951</v>
      </c>
      <c r="C20" s="3" t="s">
        <v>36</v>
      </c>
      <c r="D20" s="4" t="s">
        <v>38</v>
      </c>
      <c r="E20" s="5">
        <v>5</v>
      </c>
      <c r="F20" s="5">
        <v>0</v>
      </c>
      <c r="G20" s="6" t="s">
        <v>26</v>
      </c>
      <c r="H20" s="5" t="s">
        <v>16</v>
      </c>
      <c r="I20" s="5" t="s">
        <v>16</v>
      </c>
      <c r="J20" s="7" t="s">
        <v>17</v>
      </c>
      <c r="K20" s="14">
        <v>9.7083333333333339</v>
      </c>
      <c r="L20" s="14">
        <v>10.916666666666666</v>
      </c>
      <c r="M20" s="33" t="s">
        <v>18</v>
      </c>
      <c r="N20" s="15">
        <f>(L1047-K1047)-TIME(9,0,0)</f>
        <v>-0.375</v>
      </c>
      <c r="O20" s="22">
        <f>L20-K20</f>
        <v>1.2083333333333321</v>
      </c>
    </row>
    <row r="21" spans="2:15" ht="15.75" thickBot="1" x14ac:dyDescent="0.3">
      <c r="B21" s="52">
        <v>45951</v>
      </c>
      <c r="C21" s="23" t="s">
        <v>36</v>
      </c>
      <c r="D21" s="4" t="s">
        <v>38</v>
      </c>
      <c r="E21" s="24">
        <v>0</v>
      </c>
      <c r="F21" s="24">
        <v>0</v>
      </c>
      <c r="G21" s="25" t="s">
        <v>20</v>
      </c>
      <c r="H21" s="24" t="s">
        <v>16</v>
      </c>
      <c r="I21" s="24" t="s">
        <v>16</v>
      </c>
      <c r="J21" s="26"/>
      <c r="K21" s="27"/>
      <c r="L21" s="27"/>
      <c r="M21" s="34" t="s">
        <v>19</v>
      </c>
      <c r="N21" s="29"/>
      <c r="O21" s="30"/>
    </row>
    <row r="22" spans="2:15" ht="15.75" x14ac:dyDescent="0.25">
      <c r="B22" s="73" t="s">
        <v>35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1"/>
      <c r="O22" s="20"/>
    </row>
    <row r="23" spans="2:15" x14ac:dyDescent="0.25">
      <c r="B23" s="100" t="s">
        <v>1</v>
      </c>
      <c r="C23" s="89" t="s">
        <v>2</v>
      </c>
      <c r="D23" s="89" t="s">
        <v>3</v>
      </c>
      <c r="E23" s="93" t="s">
        <v>4</v>
      </c>
      <c r="F23" s="94"/>
      <c r="G23" s="91" t="s">
        <v>5</v>
      </c>
      <c r="H23" s="87" t="s">
        <v>6</v>
      </c>
      <c r="I23" s="91" t="s">
        <v>7</v>
      </c>
      <c r="J23" s="91" t="s">
        <v>8</v>
      </c>
      <c r="K23" s="89" t="s">
        <v>9</v>
      </c>
      <c r="L23" s="89" t="s">
        <v>10</v>
      </c>
      <c r="M23" s="87" t="s">
        <v>11</v>
      </c>
      <c r="N23" s="87" t="s">
        <v>12</v>
      </c>
      <c r="O23" s="85" t="s">
        <v>13</v>
      </c>
    </row>
    <row r="24" spans="2:15" x14ac:dyDescent="0.25">
      <c r="B24" s="101"/>
      <c r="C24" s="90"/>
      <c r="D24" s="90"/>
      <c r="E24" s="2" t="s">
        <v>14</v>
      </c>
      <c r="F24" s="2" t="s">
        <v>15</v>
      </c>
      <c r="G24" s="92"/>
      <c r="H24" s="88"/>
      <c r="I24" s="92"/>
      <c r="J24" s="92"/>
      <c r="K24" s="90"/>
      <c r="L24" s="90"/>
      <c r="M24" s="88"/>
      <c r="N24" s="88"/>
      <c r="O24" s="86"/>
    </row>
    <row r="25" spans="2:15" x14ac:dyDescent="0.25">
      <c r="B25" s="52">
        <v>45952</v>
      </c>
      <c r="C25" s="3" t="s">
        <v>36</v>
      </c>
      <c r="D25" s="4" t="s">
        <v>38</v>
      </c>
      <c r="E25" s="5">
        <v>5</v>
      </c>
      <c r="F25" s="5">
        <v>0</v>
      </c>
      <c r="G25" s="6" t="s">
        <v>26</v>
      </c>
      <c r="H25" s="5" t="s">
        <v>16</v>
      </c>
      <c r="I25" s="5" t="s">
        <v>16</v>
      </c>
      <c r="J25" s="7" t="s">
        <v>17</v>
      </c>
      <c r="K25" s="14">
        <v>9.7083333333333339</v>
      </c>
      <c r="L25" s="14">
        <v>10.916666666666666</v>
      </c>
      <c r="M25" s="33" t="s">
        <v>27</v>
      </c>
      <c r="N25" s="15">
        <f>(L1052-K1052)-TIME(9,0,0)</f>
        <v>-0.375</v>
      </c>
      <c r="O25" s="22">
        <f>L25-K25</f>
        <v>1.2083333333333321</v>
      </c>
    </row>
    <row r="26" spans="2:15" ht="15.75" thickBot="1" x14ac:dyDescent="0.3">
      <c r="B26" s="52">
        <v>45952</v>
      </c>
      <c r="C26" s="23" t="s">
        <v>36</v>
      </c>
      <c r="D26" s="4" t="s">
        <v>38</v>
      </c>
      <c r="E26" s="24">
        <v>0</v>
      </c>
      <c r="F26" s="24">
        <v>0</v>
      </c>
      <c r="G26" s="25" t="s">
        <v>20</v>
      </c>
      <c r="H26" s="24" t="s">
        <v>16</v>
      </c>
      <c r="I26" s="24" t="s">
        <v>16</v>
      </c>
      <c r="J26" s="26"/>
      <c r="K26" s="27"/>
      <c r="L26" s="27"/>
      <c r="M26" s="34" t="s">
        <v>19</v>
      </c>
      <c r="N26" s="29"/>
      <c r="O26" s="30"/>
    </row>
    <row r="27" spans="2:15" ht="15.75" x14ac:dyDescent="0.25">
      <c r="B27" s="73" t="s">
        <v>35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1"/>
      <c r="O27" s="20"/>
    </row>
    <row r="28" spans="2:15" ht="15.75" customHeight="1" x14ac:dyDescent="0.25">
      <c r="B28" s="100" t="s">
        <v>1</v>
      </c>
      <c r="C28" s="89" t="s">
        <v>2</v>
      </c>
      <c r="D28" s="89" t="s">
        <v>3</v>
      </c>
      <c r="E28" s="93" t="s">
        <v>4</v>
      </c>
      <c r="F28" s="94"/>
      <c r="G28" s="91" t="s">
        <v>5</v>
      </c>
      <c r="H28" s="87" t="s">
        <v>6</v>
      </c>
      <c r="I28" s="91" t="s">
        <v>7</v>
      </c>
      <c r="J28" s="91" t="s">
        <v>8</v>
      </c>
      <c r="K28" s="89" t="s">
        <v>9</v>
      </c>
      <c r="L28" s="89" t="s">
        <v>10</v>
      </c>
      <c r="M28" s="87" t="s">
        <v>11</v>
      </c>
      <c r="N28" s="87" t="s">
        <v>12</v>
      </c>
      <c r="O28" s="85" t="s">
        <v>13</v>
      </c>
    </row>
    <row r="29" spans="2:15" x14ac:dyDescent="0.25">
      <c r="B29" s="101"/>
      <c r="C29" s="90"/>
      <c r="D29" s="90"/>
      <c r="E29" s="2" t="s">
        <v>14</v>
      </c>
      <c r="F29" s="2" t="s">
        <v>15</v>
      </c>
      <c r="G29" s="92"/>
      <c r="H29" s="88"/>
      <c r="I29" s="92"/>
      <c r="J29" s="92"/>
      <c r="K29" s="90"/>
      <c r="L29" s="90"/>
      <c r="M29" s="88"/>
      <c r="N29" s="88"/>
      <c r="O29" s="86"/>
    </row>
    <row r="30" spans="2:15" x14ac:dyDescent="0.25">
      <c r="B30" s="52">
        <v>45957</v>
      </c>
      <c r="C30" s="3" t="s">
        <v>36</v>
      </c>
      <c r="D30" s="4" t="s">
        <v>38</v>
      </c>
      <c r="E30" s="5">
        <v>16</v>
      </c>
      <c r="F30" s="5">
        <v>0</v>
      </c>
      <c r="G30" s="6" t="s">
        <v>26</v>
      </c>
      <c r="H30" s="5" t="s">
        <v>16</v>
      </c>
      <c r="I30" s="5" t="s">
        <v>16</v>
      </c>
      <c r="J30" s="7" t="s">
        <v>17</v>
      </c>
      <c r="K30" s="14">
        <v>9.2916666666666661</v>
      </c>
      <c r="L30" s="14">
        <v>10.958333333333334</v>
      </c>
      <c r="M30" s="33" t="s">
        <v>24</v>
      </c>
      <c r="N30" s="15">
        <f>(L1057-K1057)-TIME(9,0,0)</f>
        <v>-0.375</v>
      </c>
      <c r="O30" s="22">
        <f>L30-K30</f>
        <v>1.6666666666666679</v>
      </c>
    </row>
    <row r="31" spans="2:15" ht="15.75" thickBot="1" x14ac:dyDescent="0.3">
      <c r="B31" s="52">
        <v>45957</v>
      </c>
      <c r="C31" s="23" t="s">
        <v>36</v>
      </c>
      <c r="D31" s="4" t="s">
        <v>38</v>
      </c>
      <c r="E31" s="24">
        <v>0</v>
      </c>
      <c r="F31" s="24">
        <v>0</v>
      </c>
      <c r="G31" s="25" t="s">
        <v>20</v>
      </c>
      <c r="H31" s="24" t="s">
        <v>16</v>
      </c>
      <c r="I31" s="24" t="s">
        <v>16</v>
      </c>
      <c r="J31" s="26"/>
      <c r="K31" s="27"/>
      <c r="L31" s="27"/>
      <c r="M31" s="34" t="s">
        <v>19</v>
      </c>
      <c r="N31" s="29"/>
      <c r="O31" s="30"/>
    </row>
    <row r="32" spans="2:15" ht="15.75" x14ac:dyDescent="0.25">
      <c r="B32" s="73" t="s">
        <v>35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1"/>
      <c r="O32" s="20"/>
    </row>
    <row r="33" spans="2:17" x14ac:dyDescent="0.25">
      <c r="B33" s="100" t="s">
        <v>1</v>
      </c>
      <c r="C33" s="89" t="s">
        <v>2</v>
      </c>
      <c r="D33" s="89" t="s">
        <v>3</v>
      </c>
      <c r="E33" s="93" t="s">
        <v>4</v>
      </c>
      <c r="F33" s="94"/>
      <c r="G33" s="91" t="s">
        <v>5</v>
      </c>
      <c r="H33" s="87" t="s">
        <v>6</v>
      </c>
      <c r="I33" s="91" t="s">
        <v>7</v>
      </c>
      <c r="J33" s="91" t="s">
        <v>8</v>
      </c>
      <c r="K33" s="89" t="s">
        <v>9</v>
      </c>
      <c r="L33" s="89" t="s">
        <v>10</v>
      </c>
      <c r="M33" s="87" t="s">
        <v>11</v>
      </c>
      <c r="N33" s="87" t="s">
        <v>12</v>
      </c>
      <c r="O33" s="85" t="s">
        <v>13</v>
      </c>
    </row>
    <row r="34" spans="2:17" x14ac:dyDescent="0.25">
      <c r="B34" s="101"/>
      <c r="C34" s="90"/>
      <c r="D34" s="90"/>
      <c r="E34" s="2" t="s">
        <v>14</v>
      </c>
      <c r="F34" s="2" t="s">
        <v>15</v>
      </c>
      <c r="G34" s="92"/>
      <c r="H34" s="88"/>
      <c r="I34" s="92"/>
      <c r="J34" s="92"/>
      <c r="K34" s="90"/>
      <c r="L34" s="90"/>
      <c r="M34" s="88"/>
      <c r="N34" s="88"/>
      <c r="O34" s="86"/>
    </row>
    <row r="35" spans="2:17" x14ac:dyDescent="0.25">
      <c r="B35" s="52">
        <v>45959</v>
      </c>
      <c r="C35" s="3" t="s">
        <v>36</v>
      </c>
      <c r="D35" s="4" t="s">
        <v>38</v>
      </c>
      <c r="E35" s="5">
        <v>16</v>
      </c>
      <c r="F35" s="5">
        <v>0</v>
      </c>
      <c r="G35" s="6" t="s">
        <v>26</v>
      </c>
      <c r="H35" s="5" t="s">
        <v>16</v>
      </c>
      <c r="I35" s="5" t="s">
        <v>16</v>
      </c>
      <c r="J35" s="7" t="s">
        <v>17</v>
      </c>
      <c r="K35" s="14">
        <v>9.2916666666666661</v>
      </c>
      <c r="L35" s="14">
        <v>10.958333333333334</v>
      </c>
      <c r="M35" s="33" t="s">
        <v>27</v>
      </c>
      <c r="N35" s="15">
        <f>(L1062-K1062)-TIME(9,0,0)</f>
        <v>-0.375</v>
      </c>
      <c r="O35" s="22">
        <f>L35-K35</f>
        <v>1.6666666666666679</v>
      </c>
    </row>
    <row r="36" spans="2:17" ht="15.75" thickBot="1" x14ac:dyDescent="0.3">
      <c r="B36" s="52">
        <v>45959</v>
      </c>
      <c r="C36" s="23" t="s">
        <v>36</v>
      </c>
      <c r="D36" s="4" t="s">
        <v>38</v>
      </c>
      <c r="E36" s="24">
        <v>0</v>
      </c>
      <c r="F36" s="24">
        <v>0</v>
      </c>
      <c r="G36" s="25" t="s">
        <v>20</v>
      </c>
      <c r="H36" s="24" t="s">
        <v>16</v>
      </c>
      <c r="I36" s="24" t="s">
        <v>16</v>
      </c>
      <c r="J36" s="26"/>
      <c r="K36" s="27"/>
      <c r="L36" s="27"/>
      <c r="M36" s="34" t="s">
        <v>19</v>
      </c>
      <c r="N36" s="29"/>
      <c r="O36" s="30"/>
    </row>
    <row r="37" spans="2:17" ht="15.75" x14ac:dyDescent="0.25">
      <c r="B37" s="73" t="s">
        <v>35</v>
      </c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1"/>
      <c r="O37" s="20"/>
    </row>
    <row r="38" spans="2:17" x14ac:dyDescent="0.25">
      <c r="B38" s="100" t="s">
        <v>1</v>
      </c>
      <c r="C38" s="89" t="s">
        <v>2</v>
      </c>
      <c r="D38" s="89" t="s">
        <v>3</v>
      </c>
      <c r="E38" s="93" t="s">
        <v>4</v>
      </c>
      <c r="F38" s="94"/>
      <c r="G38" s="91" t="s">
        <v>5</v>
      </c>
      <c r="H38" s="87" t="s">
        <v>6</v>
      </c>
      <c r="I38" s="91" t="s">
        <v>7</v>
      </c>
      <c r="J38" s="91" t="s">
        <v>8</v>
      </c>
      <c r="K38" s="89" t="s">
        <v>9</v>
      </c>
      <c r="L38" s="89" t="s">
        <v>10</v>
      </c>
      <c r="M38" s="87" t="s">
        <v>11</v>
      </c>
      <c r="N38" s="87" t="s">
        <v>12</v>
      </c>
      <c r="O38" s="85" t="s">
        <v>13</v>
      </c>
      <c r="P38" s="2" t="s">
        <v>14</v>
      </c>
      <c r="Q38" s="2" t="s">
        <v>15</v>
      </c>
    </row>
    <row r="39" spans="2:17" x14ac:dyDescent="0.25">
      <c r="B39" s="101"/>
      <c r="C39" s="90"/>
      <c r="D39" s="90"/>
      <c r="E39" s="2" t="s">
        <v>14</v>
      </c>
      <c r="F39" s="2" t="s">
        <v>15</v>
      </c>
      <c r="G39" s="92"/>
      <c r="H39" s="88"/>
      <c r="I39" s="92"/>
      <c r="J39" s="92"/>
      <c r="K39" s="90"/>
      <c r="L39" s="90"/>
      <c r="M39" s="88"/>
      <c r="N39" s="88"/>
      <c r="O39" s="86"/>
      <c r="P39" s="45">
        <f>SUM(E30,E35,E40,E25,E20,E15)</f>
        <v>70</v>
      </c>
      <c r="Q39" s="45">
        <f>SUM(F30,F35,F40,F25,F20,F15)</f>
        <v>0</v>
      </c>
    </row>
    <row r="40" spans="2:17" x14ac:dyDescent="0.25">
      <c r="B40" s="52">
        <v>45961</v>
      </c>
      <c r="C40" s="3" t="s">
        <v>36</v>
      </c>
      <c r="D40" s="4" t="s">
        <v>38</v>
      </c>
      <c r="E40" s="5">
        <v>16</v>
      </c>
      <c r="F40" s="5">
        <v>0</v>
      </c>
      <c r="G40" s="6" t="s">
        <v>26</v>
      </c>
      <c r="H40" s="5" t="s">
        <v>16</v>
      </c>
      <c r="I40" s="5" t="s">
        <v>16</v>
      </c>
      <c r="J40" s="7" t="s">
        <v>17</v>
      </c>
      <c r="K40" s="14">
        <v>9.2916666666666661</v>
      </c>
      <c r="L40" s="14">
        <v>10.958333333333334</v>
      </c>
      <c r="M40" s="33" t="s">
        <v>29</v>
      </c>
      <c r="N40" s="15">
        <f>(L1067-K1067)-TIME(9,0,0)</f>
        <v>-0.375</v>
      </c>
      <c r="O40" s="22">
        <f>L40-K40</f>
        <v>1.6666666666666679</v>
      </c>
      <c r="P40" s="46"/>
      <c r="Q40" s="46">
        <f>Q39/60</f>
        <v>0</v>
      </c>
    </row>
    <row r="41" spans="2:17" ht="15.75" thickBot="1" x14ac:dyDescent="0.3">
      <c r="B41" s="52">
        <v>45961</v>
      </c>
      <c r="C41" s="23" t="s">
        <v>36</v>
      </c>
      <c r="D41" s="4" t="s">
        <v>38</v>
      </c>
      <c r="E41" s="24">
        <v>0</v>
      </c>
      <c r="F41" s="24">
        <v>0</v>
      </c>
      <c r="G41" s="25" t="s">
        <v>20</v>
      </c>
      <c r="H41" s="24" t="s">
        <v>16</v>
      </c>
      <c r="I41" s="24" t="s">
        <v>16</v>
      </c>
      <c r="J41" s="26"/>
      <c r="K41" s="27"/>
      <c r="L41" s="27"/>
      <c r="M41" s="34" t="s">
        <v>19</v>
      </c>
      <c r="N41" s="29"/>
      <c r="O41" s="30"/>
      <c r="P41" s="13" t="s">
        <v>21</v>
      </c>
      <c r="Q41" s="13">
        <f>P39+Q40</f>
        <v>70</v>
      </c>
    </row>
    <row r="42" spans="2:17" ht="61.5" x14ac:dyDescent="0.25">
      <c r="B42" s="95" t="s">
        <v>39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7"/>
    </row>
    <row r="43" spans="2:17" ht="15.75" x14ac:dyDescent="0.25">
      <c r="B43" s="73" t="s">
        <v>35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1"/>
      <c r="O43" s="20"/>
    </row>
    <row r="44" spans="2:17" x14ac:dyDescent="0.25">
      <c r="B44" s="100" t="s">
        <v>1</v>
      </c>
      <c r="C44" s="89" t="s">
        <v>2</v>
      </c>
      <c r="D44" s="89" t="s">
        <v>3</v>
      </c>
      <c r="E44" s="93" t="s">
        <v>4</v>
      </c>
      <c r="F44" s="94"/>
      <c r="G44" s="91" t="s">
        <v>5</v>
      </c>
      <c r="H44" s="87" t="s">
        <v>6</v>
      </c>
      <c r="I44" s="91" t="s">
        <v>7</v>
      </c>
      <c r="J44" s="91" t="s">
        <v>8</v>
      </c>
      <c r="K44" s="89" t="s">
        <v>9</v>
      </c>
      <c r="L44" s="89" t="s">
        <v>10</v>
      </c>
      <c r="M44" s="87" t="s">
        <v>11</v>
      </c>
      <c r="N44" s="87" t="s">
        <v>12</v>
      </c>
      <c r="O44" s="85" t="s">
        <v>13</v>
      </c>
    </row>
    <row r="45" spans="2:17" x14ac:dyDescent="0.25">
      <c r="B45" s="101"/>
      <c r="C45" s="90"/>
      <c r="D45" s="90"/>
      <c r="E45" s="2" t="s">
        <v>14</v>
      </c>
      <c r="F45" s="2" t="s">
        <v>15</v>
      </c>
      <c r="G45" s="92"/>
      <c r="H45" s="88"/>
      <c r="I45" s="92"/>
      <c r="J45" s="92"/>
      <c r="K45" s="90"/>
      <c r="L45" s="90"/>
      <c r="M45" s="88"/>
      <c r="N45" s="88"/>
      <c r="O45" s="86"/>
    </row>
    <row r="46" spans="2:17" x14ac:dyDescent="0.25">
      <c r="B46" s="52">
        <v>45967</v>
      </c>
      <c r="C46" s="3" t="s">
        <v>36</v>
      </c>
      <c r="D46" s="4" t="s">
        <v>38</v>
      </c>
      <c r="E46" s="5">
        <v>16</v>
      </c>
      <c r="F46" s="5">
        <v>0</v>
      </c>
      <c r="G46" s="6" t="s">
        <v>26</v>
      </c>
      <c r="H46" s="5" t="s">
        <v>16</v>
      </c>
      <c r="I46" s="5" t="s">
        <v>16</v>
      </c>
      <c r="J46" s="7" t="s">
        <v>17</v>
      </c>
      <c r="K46" s="14">
        <v>9.2916666666666661</v>
      </c>
      <c r="L46" s="14">
        <v>10.958333333333334</v>
      </c>
      <c r="M46" s="33" t="s">
        <v>28</v>
      </c>
      <c r="N46" s="15">
        <f>(L1073-K1073)-TIME(9,0,0)</f>
        <v>-0.375</v>
      </c>
      <c r="O46" s="22">
        <f>L46-K46</f>
        <v>1.6666666666666679</v>
      </c>
    </row>
    <row r="47" spans="2:17" ht="15.75" thickBot="1" x14ac:dyDescent="0.3">
      <c r="B47" s="52">
        <v>45967</v>
      </c>
      <c r="C47" s="23" t="s">
        <v>36</v>
      </c>
      <c r="D47" s="4" t="s">
        <v>38</v>
      </c>
      <c r="E47" s="24">
        <v>0</v>
      </c>
      <c r="F47" s="24">
        <v>0</v>
      </c>
      <c r="G47" s="25" t="s">
        <v>20</v>
      </c>
      <c r="H47" s="24" t="s">
        <v>16</v>
      </c>
      <c r="I47" s="24" t="s">
        <v>16</v>
      </c>
      <c r="J47" s="26"/>
      <c r="K47" s="27"/>
      <c r="L47" s="27"/>
      <c r="M47" s="34" t="s">
        <v>19</v>
      </c>
      <c r="N47" s="29"/>
      <c r="O47" s="30"/>
    </row>
    <row r="48" spans="2:17" ht="15.75" x14ac:dyDescent="0.25">
      <c r="B48" s="73" t="s">
        <v>35</v>
      </c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1"/>
      <c r="O48" s="20"/>
    </row>
    <row r="49" spans="2:17" x14ac:dyDescent="0.25">
      <c r="B49" s="100" t="s">
        <v>1</v>
      </c>
      <c r="C49" s="89" t="s">
        <v>2</v>
      </c>
      <c r="D49" s="89" t="s">
        <v>3</v>
      </c>
      <c r="E49" s="93" t="s">
        <v>4</v>
      </c>
      <c r="F49" s="94"/>
      <c r="G49" s="91" t="s">
        <v>5</v>
      </c>
      <c r="H49" s="87" t="s">
        <v>6</v>
      </c>
      <c r="I49" s="91" t="s">
        <v>7</v>
      </c>
      <c r="J49" s="91" t="s">
        <v>8</v>
      </c>
      <c r="K49" s="89" t="s">
        <v>9</v>
      </c>
      <c r="L49" s="89" t="s">
        <v>10</v>
      </c>
      <c r="M49" s="87" t="s">
        <v>11</v>
      </c>
      <c r="N49" s="87" t="s">
        <v>12</v>
      </c>
      <c r="O49" s="85" t="s">
        <v>13</v>
      </c>
    </row>
    <row r="50" spans="2:17" x14ac:dyDescent="0.25">
      <c r="B50" s="101"/>
      <c r="C50" s="90"/>
      <c r="D50" s="90"/>
      <c r="E50" s="2" t="s">
        <v>14</v>
      </c>
      <c r="F50" s="2" t="s">
        <v>15</v>
      </c>
      <c r="G50" s="92"/>
      <c r="H50" s="88"/>
      <c r="I50" s="92"/>
      <c r="J50" s="92"/>
      <c r="K50" s="90"/>
      <c r="L50" s="90"/>
      <c r="M50" s="88"/>
      <c r="N50" s="88"/>
      <c r="O50" s="86"/>
    </row>
    <row r="51" spans="2:17" x14ac:dyDescent="0.25">
      <c r="B51" s="52">
        <v>45969</v>
      </c>
      <c r="C51" s="3" t="s">
        <v>36</v>
      </c>
      <c r="D51" s="4" t="s">
        <v>38</v>
      </c>
      <c r="E51" s="5">
        <v>10</v>
      </c>
      <c r="F51" s="5">
        <v>0</v>
      </c>
      <c r="G51" s="6" t="s">
        <v>26</v>
      </c>
      <c r="H51" s="5" t="s">
        <v>16</v>
      </c>
      <c r="I51" s="5" t="s">
        <v>16</v>
      </c>
      <c r="J51" s="7" t="s">
        <v>17</v>
      </c>
      <c r="K51" s="14">
        <v>9.2916666666666661</v>
      </c>
      <c r="L51" s="14">
        <v>10.708333333333334</v>
      </c>
      <c r="M51" s="33" t="s">
        <v>22</v>
      </c>
      <c r="N51" s="15">
        <f>(L1078-K1078)-TIME(9,0,0)</f>
        <v>-0.375</v>
      </c>
      <c r="O51" s="22">
        <f>L51-K51</f>
        <v>1.4166666666666679</v>
      </c>
    </row>
    <row r="52" spans="2:17" ht="15.75" thickBot="1" x14ac:dyDescent="0.3">
      <c r="B52" s="52">
        <v>45969</v>
      </c>
      <c r="C52" s="23" t="s">
        <v>36</v>
      </c>
      <c r="D52" s="4" t="s">
        <v>38</v>
      </c>
      <c r="E52" s="24">
        <v>0</v>
      </c>
      <c r="F52" s="24">
        <v>0</v>
      </c>
      <c r="G52" s="25" t="s">
        <v>20</v>
      </c>
      <c r="H52" s="24" t="s">
        <v>16</v>
      </c>
      <c r="I52" s="24" t="s">
        <v>16</v>
      </c>
      <c r="J52" s="26"/>
      <c r="K52" s="27"/>
      <c r="L52" s="27"/>
      <c r="M52" s="34" t="s">
        <v>19</v>
      </c>
      <c r="N52" s="29"/>
      <c r="O52" s="30"/>
    </row>
    <row r="53" spans="2:17" ht="15.75" x14ac:dyDescent="0.25">
      <c r="B53" s="73" t="s">
        <v>35</v>
      </c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1"/>
      <c r="O53" s="20"/>
    </row>
    <row r="54" spans="2:17" x14ac:dyDescent="0.25">
      <c r="B54" s="100" t="s">
        <v>1</v>
      </c>
      <c r="C54" s="89" t="s">
        <v>2</v>
      </c>
      <c r="D54" s="89" t="s">
        <v>3</v>
      </c>
      <c r="E54" s="93" t="s">
        <v>4</v>
      </c>
      <c r="F54" s="94"/>
      <c r="G54" s="91" t="s">
        <v>5</v>
      </c>
      <c r="H54" s="87" t="s">
        <v>6</v>
      </c>
      <c r="I54" s="91" t="s">
        <v>7</v>
      </c>
      <c r="J54" s="91" t="s">
        <v>8</v>
      </c>
      <c r="K54" s="89" t="s">
        <v>9</v>
      </c>
      <c r="L54" s="89" t="s">
        <v>10</v>
      </c>
      <c r="M54" s="87" t="s">
        <v>11</v>
      </c>
      <c r="N54" s="87" t="s">
        <v>12</v>
      </c>
      <c r="O54" s="85" t="s">
        <v>13</v>
      </c>
      <c r="P54" s="2" t="s">
        <v>14</v>
      </c>
      <c r="Q54" s="2" t="s">
        <v>15</v>
      </c>
    </row>
    <row r="55" spans="2:17" x14ac:dyDescent="0.25">
      <c r="B55" s="101"/>
      <c r="C55" s="90"/>
      <c r="D55" s="90"/>
      <c r="E55" s="2" t="s">
        <v>14</v>
      </c>
      <c r="F55" s="2" t="s">
        <v>15</v>
      </c>
      <c r="G55" s="92"/>
      <c r="H55" s="88"/>
      <c r="I55" s="92"/>
      <c r="J55" s="92"/>
      <c r="K55" s="90"/>
      <c r="L55" s="90"/>
      <c r="M55" s="88"/>
      <c r="N55" s="88"/>
      <c r="O55" s="86"/>
      <c r="P55" s="45">
        <f>SUM(E51,E56,E46)</f>
        <v>42</v>
      </c>
      <c r="Q55" s="45">
        <f>SUM(F51,F56,F46)</f>
        <v>0</v>
      </c>
    </row>
    <row r="56" spans="2:17" x14ac:dyDescent="0.25">
      <c r="B56" s="52">
        <v>45974</v>
      </c>
      <c r="C56" s="3" t="s">
        <v>36</v>
      </c>
      <c r="D56" s="4" t="s">
        <v>38</v>
      </c>
      <c r="E56" s="5">
        <v>16</v>
      </c>
      <c r="F56" s="5">
        <v>0</v>
      </c>
      <c r="G56" s="6" t="s">
        <v>26</v>
      </c>
      <c r="H56" s="5" t="s">
        <v>16</v>
      </c>
      <c r="I56" s="5" t="s">
        <v>16</v>
      </c>
      <c r="J56" s="7" t="s">
        <v>17</v>
      </c>
      <c r="K56" s="14">
        <v>9.2916666666666661</v>
      </c>
      <c r="L56" s="14">
        <v>10.958333333333334</v>
      </c>
      <c r="M56" s="33" t="s">
        <v>28</v>
      </c>
      <c r="N56" s="15">
        <f>(L1083-K1083)-TIME(9,0,0)</f>
        <v>-0.375</v>
      </c>
      <c r="O56" s="22">
        <f>L56-K56</f>
        <v>1.6666666666666679</v>
      </c>
      <c r="P56" s="46"/>
      <c r="Q56" s="46">
        <f>Q55/60</f>
        <v>0</v>
      </c>
    </row>
    <row r="57" spans="2:17" ht="15.75" thickBot="1" x14ac:dyDescent="0.3">
      <c r="B57" s="52">
        <v>45974</v>
      </c>
      <c r="C57" s="23" t="s">
        <v>36</v>
      </c>
      <c r="D57" s="4" t="s">
        <v>38</v>
      </c>
      <c r="E57" s="24">
        <v>0</v>
      </c>
      <c r="F57" s="24">
        <v>0</v>
      </c>
      <c r="G57" s="25" t="s">
        <v>20</v>
      </c>
      <c r="H57" s="24" t="s">
        <v>16</v>
      </c>
      <c r="I57" s="24" t="s">
        <v>16</v>
      </c>
      <c r="J57" s="26"/>
      <c r="K57" s="27"/>
      <c r="L57" s="27"/>
      <c r="M57" s="34" t="s">
        <v>19</v>
      </c>
      <c r="N57" s="29"/>
      <c r="O57" s="30"/>
      <c r="P57" s="13" t="s">
        <v>21</v>
      </c>
      <c r="Q57" s="13">
        <f>P55+Q56</f>
        <v>42</v>
      </c>
    </row>
    <row r="58" spans="2:17" ht="15.75" x14ac:dyDescent="0.25">
      <c r="B58" s="73" t="s">
        <v>35</v>
      </c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1"/>
      <c r="O58" s="20"/>
    </row>
    <row r="59" spans="2:17" ht="15" customHeight="1" x14ac:dyDescent="0.25">
      <c r="B59" s="100" t="s">
        <v>1</v>
      </c>
      <c r="C59" s="89" t="s">
        <v>2</v>
      </c>
      <c r="D59" s="89" t="s">
        <v>3</v>
      </c>
      <c r="E59" s="93" t="s">
        <v>4</v>
      </c>
      <c r="F59" s="94"/>
      <c r="G59" s="91" t="s">
        <v>5</v>
      </c>
      <c r="H59" s="87" t="s">
        <v>6</v>
      </c>
      <c r="I59" s="91" t="s">
        <v>7</v>
      </c>
      <c r="J59" s="91" t="s">
        <v>8</v>
      </c>
      <c r="K59" s="89" t="s">
        <v>9</v>
      </c>
      <c r="L59" s="89" t="s">
        <v>10</v>
      </c>
      <c r="M59" s="87" t="s">
        <v>11</v>
      </c>
      <c r="N59" s="87" t="s">
        <v>12</v>
      </c>
      <c r="O59" s="85" t="s">
        <v>13</v>
      </c>
    </row>
    <row r="60" spans="2:17" ht="15" customHeight="1" x14ac:dyDescent="0.25">
      <c r="B60" s="101"/>
      <c r="C60" s="90"/>
      <c r="D60" s="90"/>
      <c r="E60" s="2" t="s">
        <v>14</v>
      </c>
      <c r="F60" s="2" t="s">
        <v>15</v>
      </c>
      <c r="G60" s="92"/>
      <c r="H60" s="88"/>
      <c r="I60" s="92"/>
      <c r="J60" s="92"/>
      <c r="K60" s="90"/>
      <c r="L60" s="90"/>
      <c r="M60" s="88"/>
      <c r="N60" s="88"/>
      <c r="O60" s="86"/>
    </row>
    <row r="61" spans="2:17" x14ac:dyDescent="0.25">
      <c r="B61" s="52">
        <v>45984</v>
      </c>
      <c r="C61" s="3" t="s">
        <v>50</v>
      </c>
      <c r="D61" s="4" t="s">
        <v>38</v>
      </c>
      <c r="E61" s="5">
        <v>10</v>
      </c>
      <c r="F61" s="5">
        <v>30</v>
      </c>
      <c r="G61" s="6" t="s">
        <v>26</v>
      </c>
      <c r="H61" s="5" t="s">
        <v>16</v>
      </c>
      <c r="I61" s="5" t="s">
        <v>16</v>
      </c>
      <c r="J61" s="7" t="s">
        <v>17</v>
      </c>
      <c r="K61" s="14">
        <v>9.4583333333333339</v>
      </c>
      <c r="L61" s="14">
        <v>10.895833333333334</v>
      </c>
      <c r="M61" s="33" t="s">
        <v>23</v>
      </c>
      <c r="N61" s="15">
        <f>(L1068-K1068)-TIME(9,0,0)</f>
        <v>-0.375</v>
      </c>
      <c r="O61" s="22">
        <f>L61-K61</f>
        <v>1.4375</v>
      </c>
    </row>
    <row r="62" spans="2:17" ht="30.75" thickBot="1" x14ac:dyDescent="0.3">
      <c r="B62" s="52">
        <v>45984</v>
      </c>
      <c r="C62" s="3" t="s">
        <v>50</v>
      </c>
      <c r="D62" s="4" t="s">
        <v>38</v>
      </c>
      <c r="E62" s="24">
        <v>0</v>
      </c>
      <c r="F62" s="24">
        <v>0</v>
      </c>
      <c r="G62" s="25" t="s">
        <v>20</v>
      </c>
      <c r="H62" s="24" t="s">
        <v>16</v>
      </c>
      <c r="I62" s="24" t="s">
        <v>16</v>
      </c>
      <c r="J62" s="26"/>
      <c r="K62" s="27"/>
      <c r="L62" s="27"/>
      <c r="M62" s="34" t="s">
        <v>19</v>
      </c>
      <c r="N62" s="29"/>
      <c r="O62" s="30"/>
    </row>
    <row r="63" spans="2:17" ht="15.75" x14ac:dyDescent="0.25">
      <c r="B63" s="73" t="s">
        <v>35</v>
      </c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1"/>
      <c r="O63" s="20"/>
    </row>
    <row r="64" spans="2:17" x14ac:dyDescent="0.25">
      <c r="B64" s="100" t="s">
        <v>1</v>
      </c>
      <c r="C64" s="89" t="s">
        <v>2</v>
      </c>
      <c r="D64" s="89" t="s">
        <v>3</v>
      </c>
      <c r="E64" s="93" t="s">
        <v>4</v>
      </c>
      <c r="F64" s="94"/>
      <c r="G64" s="91" t="s">
        <v>5</v>
      </c>
      <c r="H64" s="87" t="s">
        <v>6</v>
      </c>
      <c r="I64" s="91" t="s">
        <v>7</v>
      </c>
      <c r="J64" s="91" t="s">
        <v>8</v>
      </c>
      <c r="K64" s="89" t="s">
        <v>9</v>
      </c>
      <c r="L64" s="89" t="s">
        <v>10</v>
      </c>
      <c r="M64" s="87" t="s">
        <v>11</v>
      </c>
      <c r="N64" s="87" t="s">
        <v>12</v>
      </c>
      <c r="O64" s="85" t="s">
        <v>13</v>
      </c>
    </row>
    <row r="65" spans="2:17" x14ac:dyDescent="0.25">
      <c r="B65" s="101"/>
      <c r="C65" s="90"/>
      <c r="D65" s="90"/>
      <c r="E65" s="2" t="s">
        <v>14</v>
      </c>
      <c r="F65" s="2" t="s">
        <v>15</v>
      </c>
      <c r="G65" s="92"/>
      <c r="H65" s="88"/>
      <c r="I65" s="92"/>
      <c r="J65" s="92"/>
      <c r="K65" s="90"/>
      <c r="L65" s="90"/>
      <c r="M65" s="88"/>
      <c r="N65" s="88"/>
      <c r="O65" s="86"/>
    </row>
    <row r="66" spans="2:17" x14ac:dyDescent="0.25">
      <c r="B66" s="52">
        <v>45985</v>
      </c>
      <c r="C66" s="3" t="s">
        <v>50</v>
      </c>
      <c r="D66" s="4" t="s">
        <v>38</v>
      </c>
      <c r="E66" s="5">
        <v>10</v>
      </c>
      <c r="F66" s="5">
        <v>30</v>
      </c>
      <c r="G66" s="6" t="s">
        <v>26</v>
      </c>
      <c r="H66" s="5" t="s">
        <v>16</v>
      </c>
      <c r="I66" s="5" t="s">
        <v>16</v>
      </c>
      <c r="J66" s="7" t="s">
        <v>17</v>
      </c>
      <c r="K66" s="14">
        <v>9.4583333333333339</v>
      </c>
      <c r="L66" s="14">
        <v>10.895833333333334</v>
      </c>
      <c r="M66" s="33" t="s">
        <v>24</v>
      </c>
      <c r="N66" s="15">
        <f>(L1073-K1073)-TIME(9,0,0)</f>
        <v>-0.375</v>
      </c>
      <c r="O66" s="22">
        <f>L66-K66</f>
        <v>1.4375</v>
      </c>
    </row>
    <row r="67" spans="2:17" ht="30.75" thickBot="1" x14ac:dyDescent="0.3">
      <c r="B67" s="52">
        <v>45985</v>
      </c>
      <c r="C67" s="3" t="s">
        <v>50</v>
      </c>
      <c r="D67" s="4" t="s">
        <v>38</v>
      </c>
      <c r="E67" s="24">
        <v>0</v>
      </c>
      <c r="F67" s="24">
        <v>0</v>
      </c>
      <c r="G67" s="25" t="s">
        <v>20</v>
      </c>
      <c r="H67" s="24" t="s">
        <v>16</v>
      </c>
      <c r="I67" s="24" t="s">
        <v>16</v>
      </c>
      <c r="J67" s="26"/>
      <c r="K67" s="27"/>
      <c r="L67" s="27"/>
      <c r="M67" s="34" t="s">
        <v>19</v>
      </c>
      <c r="N67" s="29"/>
      <c r="O67" s="30"/>
    </row>
    <row r="68" spans="2:17" ht="15.75" x14ac:dyDescent="0.25">
      <c r="B68" s="73" t="s">
        <v>35</v>
      </c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1"/>
      <c r="O68" s="20"/>
    </row>
    <row r="69" spans="2:17" x14ac:dyDescent="0.25">
      <c r="B69" s="100" t="s">
        <v>1</v>
      </c>
      <c r="C69" s="89" t="s">
        <v>2</v>
      </c>
      <c r="D69" s="89" t="s">
        <v>3</v>
      </c>
      <c r="E69" s="93" t="s">
        <v>4</v>
      </c>
      <c r="F69" s="94"/>
      <c r="G69" s="91" t="s">
        <v>5</v>
      </c>
      <c r="H69" s="87" t="s">
        <v>6</v>
      </c>
      <c r="I69" s="91" t="s">
        <v>7</v>
      </c>
      <c r="J69" s="91" t="s">
        <v>8</v>
      </c>
      <c r="K69" s="89" t="s">
        <v>9</v>
      </c>
      <c r="L69" s="89" t="s">
        <v>10</v>
      </c>
      <c r="M69" s="87" t="s">
        <v>11</v>
      </c>
      <c r="N69" s="87" t="s">
        <v>12</v>
      </c>
      <c r="O69" s="85" t="s">
        <v>13</v>
      </c>
    </row>
    <row r="70" spans="2:17" x14ac:dyDescent="0.25">
      <c r="B70" s="101"/>
      <c r="C70" s="90"/>
      <c r="D70" s="90"/>
      <c r="E70" s="2" t="s">
        <v>14</v>
      </c>
      <c r="F70" s="2" t="s">
        <v>15</v>
      </c>
      <c r="G70" s="92"/>
      <c r="H70" s="88"/>
      <c r="I70" s="92"/>
      <c r="J70" s="92"/>
      <c r="K70" s="90"/>
      <c r="L70" s="90"/>
      <c r="M70" s="88"/>
      <c r="N70" s="88"/>
      <c r="O70" s="86"/>
      <c r="P70" s="2" t="s">
        <v>14</v>
      </c>
      <c r="Q70" s="2" t="s">
        <v>15</v>
      </c>
    </row>
    <row r="71" spans="2:17" x14ac:dyDescent="0.25">
      <c r="B71" s="52">
        <v>45987</v>
      </c>
      <c r="C71" s="3" t="s">
        <v>50</v>
      </c>
      <c r="D71" s="4" t="s">
        <v>38</v>
      </c>
      <c r="E71" s="5">
        <v>10</v>
      </c>
      <c r="F71" s="5">
        <v>30</v>
      </c>
      <c r="G71" s="6" t="s">
        <v>26</v>
      </c>
      <c r="H71" s="5" t="s">
        <v>16</v>
      </c>
      <c r="I71" s="5" t="s">
        <v>16</v>
      </c>
      <c r="J71" s="7" t="s">
        <v>17</v>
      </c>
      <c r="K71" s="14">
        <v>9.4583333333333339</v>
      </c>
      <c r="L71" s="14">
        <v>10.895833333333334</v>
      </c>
      <c r="M71" s="33" t="s">
        <v>27</v>
      </c>
      <c r="N71" s="15">
        <f>(L1078-K1078)-TIME(9,0,0)</f>
        <v>-0.375</v>
      </c>
      <c r="O71" s="22">
        <f>L71-K71</f>
        <v>1.4375</v>
      </c>
      <c r="P71" s="45">
        <f>SUM(E102,E107,E97)</f>
        <v>42</v>
      </c>
      <c r="Q71" s="45">
        <f>SUM(F102,F107,F97)</f>
        <v>0</v>
      </c>
    </row>
    <row r="72" spans="2:17" ht="30.75" thickBot="1" x14ac:dyDescent="0.3">
      <c r="B72" s="52">
        <v>45987</v>
      </c>
      <c r="C72" s="3" t="s">
        <v>50</v>
      </c>
      <c r="D72" s="4" t="s">
        <v>38</v>
      </c>
      <c r="E72" s="24">
        <v>0</v>
      </c>
      <c r="F72" s="24">
        <v>0</v>
      </c>
      <c r="G72" s="25" t="s">
        <v>20</v>
      </c>
      <c r="H72" s="24" t="s">
        <v>16</v>
      </c>
      <c r="I72" s="24" t="s">
        <v>16</v>
      </c>
      <c r="J72" s="26"/>
      <c r="K72" s="27"/>
      <c r="L72" s="27"/>
      <c r="M72" s="34" t="s">
        <v>19</v>
      </c>
      <c r="N72" s="29"/>
      <c r="O72" s="30"/>
      <c r="P72" s="46"/>
      <c r="Q72" s="46">
        <f>Q71/60</f>
        <v>0</v>
      </c>
    </row>
    <row r="73" spans="2:17" ht="15.75" x14ac:dyDescent="0.25">
      <c r="B73" s="73" t="s">
        <v>35</v>
      </c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1"/>
      <c r="O73" s="20"/>
      <c r="P73" s="13" t="s">
        <v>21</v>
      </c>
      <c r="Q73" s="13">
        <f>P71+Q72</f>
        <v>42</v>
      </c>
    </row>
    <row r="74" spans="2:17" x14ac:dyDescent="0.25">
      <c r="B74" s="100" t="s">
        <v>1</v>
      </c>
      <c r="C74" s="89" t="s">
        <v>2</v>
      </c>
      <c r="D74" s="89" t="s">
        <v>3</v>
      </c>
      <c r="E74" s="93" t="s">
        <v>4</v>
      </c>
      <c r="F74" s="94"/>
      <c r="G74" s="91" t="s">
        <v>5</v>
      </c>
      <c r="H74" s="87" t="s">
        <v>6</v>
      </c>
      <c r="I74" s="91" t="s">
        <v>7</v>
      </c>
      <c r="J74" s="91" t="s">
        <v>8</v>
      </c>
      <c r="K74" s="89" t="s">
        <v>9</v>
      </c>
      <c r="L74" s="89" t="s">
        <v>10</v>
      </c>
      <c r="M74" s="87" t="s">
        <v>11</v>
      </c>
      <c r="N74" s="87" t="s">
        <v>12</v>
      </c>
      <c r="O74" s="85" t="s">
        <v>13</v>
      </c>
    </row>
    <row r="75" spans="2:17" x14ac:dyDescent="0.25">
      <c r="B75" s="101"/>
      <c r="C75" s="90"/>
      <c r="D75" s="90"/>
      <c r="E75" s="2" t="s">
        <v>14</v>
      </c>
      <c r="F75" s="2" t="s">
        <v>15</v>
      </c>
      <c r="G75" s="92"/>
      <c r="H75" s="88"/>
      <c r="I75" s="92"/>
      <c r="J75" s="92"/>
      <c r="K75" s="90"/>
      <c r="L75" s="90"/>
      <c r="M75" s="88"/>
      <c r="N75" s="88"/>
      <c r="O75" s="86"/>
    </row>
    <row r="76" spans="2:17" x14ac:dyDescent="0.25">
      <c r="B76" s="52">
        <v>45991</v>
      </c>
      <c r="C76" s="3" t="s">
        <v>50</v>
      </c>
      <c r="D76" s="4" t="s">
        <v>38</v>
      </c>
      <c r="E76" s="5">
        <v>10</v>
      </c>
      <c r="F76" s="5">
        <v>30</v>
      </c>
      <c r="G76" s="6" t="s">
        <v>26</v>
      </c>
      <c r="H76" s="5" t="s">
        <v>16</v>
      </c>
      <c r="I76" s="5" t="s">
        <v>16</v>
      </c>
      <c r="J76" s="7" t="s">
        <v>17</v>
      </c>
      <c r="K76" s="14">
        <v>9.4583333333333339</v>
      </c>
      <c r="L76" s="14">
        <v>10.895833333333334</v>
      </c>
      <c r="M76" s="33" t="s">
        <v>23</v>
      </c>
      <c r="N76" s="15">
        <f>(L1083-K1083)-TIME(9,0,0)</f>
        <v>-0.375</v>
      </c>
      <c r="O76" s="22">
        <f>L76-K76</f>
        <v>1.4375</v>
      </c>
    </row>
    <row r="77" spans="2:17" ht="15.75" thickBot="1" x14ac:dyDescent="0.3">
      <c r="B77" s="52">
        <v>45991</v>
      </c>
      <c r="C77" s="3" t="s">
        <v>50</v>
      </c>
      <c r="D77" s="4" t="s">
        <v>38</v>
      </c>
      <c r="E77" s="24">
        <v>0</v>
      </c>
      <c r="F77" s="24">
        <v>0</v>
      </c>
      <c r="G77" s="25" t="s">
        <v>20</v>
      </c>
      <c r="H77" s="24" t="s">
        <v>16</v>
      </c>
      <c r="I77" s="24" t="s">
        <v>16</v>
      </c>
      <c r="J77" s="26"/>
      <c r="K77" s="27"/>
      <c r="L77" s="27"/>
      <c r="M77" s="34" t="s">
        <v>19</v>
      </c>
      <c r="N77" s="29"/>
      <c r="O77" s="30"/>
    </row>
    <row r="78" spans="2:17" ht="61.5" x14ac:dyDescent="0.25">
      <c r="B78" s="95" t="s">
        <v>47</v>
      </c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9"/>
    </row>
    <row r="79" spans="2:17" ht="15" customHeight="1" x14ac:dyDescent="0.25">
      <c r="B79" s="73" t="s">
        <v>35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1"/>
      <c r="O79" s="20"/>
    </row>
    <row r="80" spans="2:17" ht="15" customHeight="1" x14ac:dyDescent="0.25">
      <c r="B80" s="100" t="s">
        <v>1</v>
      </c>
      <c r="C80" s="89" t="s">
        <v>2</v>
      </c>
      <c r="D80" s="89" t="s">
        <v>3</v>
      </c>
      <c r="E80" s="93" t="s">
        <v>4</v>
      </c>
      <c r="F80" s="94"/>
      <c r="G80" s="91" t="s">
        <v>5</v>
      </c>
      <c r="H80" s="87" t="s">
        <v>6</v>
      </c>
      <c r="I80" s="91" t="s">
        <v>7</v>
      </c>
      <c r="J80" s="91" t="s">
        <v>8</v>
      </c>
      <c r="K80" s="89" t="s">
        <v>9</v>
      </c>
      <c r="L80" s="89" t="s">
        <v>10</v>
      </c>
      <c r="M80" s="87" t="s">
        <v>11</v>
      </c>
      <c r="N80" s="87" t="s">
        <v>12</v>
      </c>
      <c r="O80" s="85" t="s">
        <v>13</v>
      </c>
    </row>
    <row r="81" spans="2:15" x14ac:dyDescent="0.25">
      <c r="B81" s="101"/>
      <c r="C81" s="90"/>
      <c r="D81" s="90"/>
      <c r="E81" s="2" t="s">
        <v>14</v>
      </c>
      <c r="F81" s="2" t="s">
        <v>15</v>
      </c>
      <c r="G81" s="92"/>
      <c r="H81" s="88"/>
      <c r="I81" s="92"/>
      <c r="J81" s="92"/>
      <c r="K81" s="90"/>
      <c r="L81" s="90"/>
      <c r="M81" s="88"/>
      <c r="N81" s="88"/>
      <c r="O81" s="86"/>
    </row>
    <row r="82" spans="2:15" x14ac:dyDescent="0.25">
      <c r="B82" s="52">
        <v>45992</v>
      </c>
      <c r="C82" s="3" t="s">
        <v>50</v>
      </c>
      <c r="D82" s="4" t="s">
        <v>38</v>
      </c>
      <c r="E82" s="5">
        <v>9</v>
      </c>
      <c r="F82" s="5">
        <v>30</v>
      </c>
      <c r="G82" s="6" t="s">
        <v>26</v>
      </c>
      <c r="H82" s="5" t="s">
        <v>16</v>
      </c>
      <c r="I82" s="5" t="s">
        <v>16</v>
      </c>
      <c r="J82" s="7" t="s">
        <v>17</v>
      </c>
      <c r="K82" s="14">
        <v>9.5</v>
      </c>
      <c r="L82" s="14">
        <v>10.895833333333334</v>
      </c>
      <c r="M82" s="33" t="s">
        <v>24</v>
      </c>
      <c r="N82" s="15">
        <f>(L1059-K1059)-TIME(9,0,0)</f>
        <v>-0.375</v>
      </c>
      <c r="O82" s="22">
        <f>L82-K82</f>
        <v>1.3958333333333339</v>
      </c>
    </row>
    <row r="83" spans="2:15" ht="30.75" thickBot="1" x14ac:dyDescent="0.3">
      <c r="B83" s="52">
        <v>45992</v>
      </c>
      <c r="C83" s="3" t="s">
        <v>50</v>
      </c>
      <c r="D83" s="4" t="s">
        <v>38</v>
      </c>
      <c r="E83" s="24">
        <v>0</v>
      </c>
      <c r="F83" s="24">
        <v>0</v>
      </c>
      <c r="G83" s="25" t="s">
        <v>20</v>
      </c>
      <c r="H83" s="24" t="s">
        <v>16</v>
      </c>
      <c r="I83" s="24" t="s">
        <v>16</v>
      </c>
      <c r="J83" s="26"/>
      <c r="K83" s="27"/>
      <c r="L83" s="27"/>
      <c r="M83" s="34" t="s">
        <v>19</v>
      </c>
      <c r="N83" s="29"/>
      <c r="O83" s="30"/>
    </row>
    <row r="84" spans="2:15" ht="15.75" x14ac:dyDescent="0.25">
      <c r="B84" s="73" t="s">
        <v>35</v>
      </c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1"/>
      <c r="O84" s="20"/>
    </row>
    <row r="85" spans="2:15" x14ac:dyDescent="0.25">
      <c r="B85" s="100" t="s">
        <v>1</v>
      </c>
      <c r="C85" s="89" t="s">
        <v>2</v>
      </c>
      <c r="D85" s="89" t="s">
        <v>3</v>
      </c>
      <c r="E85" s="93" t="s">
        <v>4</v>
      </c>
      <c r="F85" s="94"/>
      <c r="G85" s="91" t="s">
        <v>5</v>
      </c>
      <c r="H85" s="87" t="s">
        <v>6</v>
      </c>
      <c r="I85" s="91" t="s">
        <v>7</v>
      </c>
      <c r="J85" s="91" t="s">
        <v>8</v>
      </c>
      <c r="K85" s="89" t="s">
        <v>9</v>
      </c>
      <c r="L85" s="89" t="s">
        <v>10</v>
      </c>
      <c r="M85" s="87" t="s">
        <v>11</v>
      </c>
      <c r="N85" s="87" t="s">
        <v>12</v>
      </c>
      <c r="O85" s="85" t="s">
        <v>13</v>
      </c>
    </row>
    <row r="86" spans="2:15" x14ac:dyDescent="0.25">
      <c r="B86" s="101"/>
      <c r="C86" s="90"/>
      <c r="D86" s="90"/>
      <c r="E86" s="2" t="s">
        <v>14</v>
      </c>
      <c r="F86" s="2" t="s">
        <v>15</v>
      </c>
      <c r="G86" s="92"/>
      <c r="H86" s="88"/>
      <c r="I86" s="92"/>
      <c r="J86" s="92"/>
      <c r="K86" s="90"/>
      <c r="L86" s="90"/>
      <c r="M86" s="88"/>
      <c r="N86" s="88"/>
      <c r="O86" s="86"/>
    </row>
    <row r="87" spans="2:15" x14ac:dyDescent="0.25">
      <c r="B87" s="52">
        <v>45993</v>
      </c>
      <c r="C87" s="3" t="s">
        <v>50</v>
      </c>
      <c r="D87" s="4" t="s">
        <v>38</v>
      </c>
      <c r="E87" s="5">
        <v>9</v>
      </c>
      <c r="F87" s="5">
        <v>30</v>
      </c>
      <c r="G87" s="6" t="s">
        <v>26</v>
      </c>
      <c r="H87" s="5" t="s">
        <v>16</v>
      </c>
      <c r="I87" s="5" t="s">
        <v>16</v>
      </c>
      <c r="J87" s="7" t="s">
        <v>17</v>
      </c>
      <c r="K87" s="14">
        <v>9.5</v>
      </c>
      <c r="L87" s="14">
        <v>10.895833333333334</v>
      </c>
      <c r="M87" s="33" t="s">
        <v>18</v>
      </c>
      <c r="N87" s="15">
        <f>(L1064-K1064)-TIME(9,0,0)</f>
        <v>-0.375</v>
      </c>
      <c r="O87" s="22">
        <f>L87-K87</f>
        <v>1.3958333333333339</v>
      </c>
    </row>
    <row r="88" spans="2:15" ht="30.75" thickBot="1" x14ac:dyDescent="0.3">
      <c r="B88" s="52">
        <v>45993</v>
      </c>
      <c r="C88" s="3" t="s">
        <v>50</v>
      </c>
      <c r="D88" s="4" t="s">
        <v>38</v>
      </c>
      <c r="E88" s="24">
        <v>0</v>
      </c>
      <c r="F88" s="24">
        <v>0</v>
      </c>
      <c r="G88" s="25" t="s">
        <v>20</v>
      </c>
      <c r="H88" s="24" t="s">
        <v>16</v>
      </c>
      <c r="I88" s="24" t="s">
        <v>16</v>
      </c>
      <c r="J88" s="26"/>
      <c r="K88" s="27"/>
      <c r="L88" s="27"/>
      <c r="M88" s="34" t="s">
        <v>19</v>
      </c>
      <c r="N88" s="29"/>
      <c r="O88" s="30"/>
    </row>
    <row r="89" spans="2:15" ht="15.75" x14ac:dyDescent="0.25">
      <c r="B89" s="73" t="s">
        <v>35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1"/>
      <c r="O89" s="20"/>
    </row>
    <row r="90" spans="2:15" x14ac:dyDescent="0.25">
      <c r="B90" s="100" t="s">
        <v>1</v>
      </c>
      <c r="C90" s="89" t="s">
        <v>2</v>
      </c>
      <c r="D90" s="89" t="s">
        <v>3</v>
      </c>
      <c r="E90" s="93" t="s">
        <v>4</v>
      </c>
      <c r="F90" s="94"/>
      <c r="G90" s="91" t="s">
        <v>5</v>
      </c>
      <c r="H90" s="87" t="s">
        <v>6</v>
      </c>
      <c r="I90" s="91" t="s">
        <v>7</v>
      </c>
      <c r="J90" s="91" t="s">
        <v>8</v>
      </c>
      <c r="K90" s="89" t="s">
        <v>9</v>
      </c>
      <c r="L90" s="89" t="s">
        <v>10</v>
      </c>
      <c r="M90" s="87" t="s">
        <v>11</v>
      </c>
      <c r="N90" s="87" t="s">
        <v>12</v>
      </c>
      <c r="O90" s="85" t="s">
        <v>13</v>
      </c>
    </row>
    <row r="91" spans="2:15" x14ac:dyDescent="0.25">
      <c r="B91" s="101"/>
      <c r="C91" s="90"/>
      <c r="D91" s="90"/>
      <c r="E91" s="2" t="s">
        <v>14</v>
      </c>
      <c r="F91" s="2" t="s">
        <v>15</v>
      </c>
      <c r="G91" s="92"/>
      <c r="H91" s="88"/>
      <c r="I91" s="92"/>
      <c r="J91" s="92"/>
      <c r="K91" s="90"/>
      <c r="L91" s="90"/>
      <c r="M91" s="88"/>
      <c r="N91" s="88"/>
      <c r="O91" s="86"/>
    </row>
    <row r="92" spans="2:15" x14ac:dyDescent="0.25">
      <c r="B92" s="52">
        <v>45994</v>
      </c>
      <c r="C92" s="3" t="s">
        <v>50</v>
      </c>
      <c r="D92" s="4" t="s">
        <v>38</v>
      </c>
      <c r="E92" s="5">
        <v>9</v>
      </c>
      <c r="F92" s="5">
        <v>30</v>
      </c>
      <c r="G92" s="6" t="s">
        <v>26</v>
      </c>
      <c r="H92" s="5" t="s">
        <v>16</v>
      </c>
      <c r="I92" s="5" t="s">
        <v>16</v>
      </c>
      <c r="J92" s="7" t="s">
        <v>17</v>
      </c>
      <c r="K92" s="14">
        <v>9.5</v>
      </c>
      <c r="L92" s="14">
        <v>10.895833333333334</v>
      </c>
      <c r="M92" s="33" t="s">
        <v>27</v>
      </c>
      <c r="N92" s="15">
        <f>(L1069-K1069)-TIME(9,0,0)</f>
        <v>-0.375</v>
      </c>
      <c r="O92" s="22">
        <f>L92-K92</f>
        <v>1.3958333333333339</v>
      </c>
    </row>
    <row r="93" spans="2:15" ht="30.75" thickBot="1" x14ac:dyDescent="0.3">
      <c r="B93" s="52">
        <v>45994</v>
      </c>
      <c r="C93" s="3" t="s">
        <v>50</v>
      </c>
      <c r="D93" s="4" t="s">
        <v>38</v>
      </c>
      <c r="E93" s="24">
        <v>0</v>
      </c>
      <c r="F93" s="24">
        <v>0</v>
      </c>
      <c r="G93" s="25" t="s">
        <v>20</v>
      </c>
      <c r="H93" s="24" t="s">
        <v>16</v>
      </c>
      <c r="I93" s="24" t="s">
        <v>16</v>
      </c>
      <c r="J93" s="26"/>
      <c r="K93" s="27"/>
      <c r="L93" s="27"/>
      <c r="M93" s="34" t="s">
        <v>19</v>
      </c>
      <c r="N93" s="29"/>
      <c r="O93" s="30"/>
    </row>
    <row r="94" spans="2:15" ht="15.75" x14ac:dyDescent="0.25">
      <c r="B94" s="73" t="s">
        <v>35</v>
      </c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1"/>
      <c r="O94" s="20"/>
    </row>
    <row r="95" spans="2:15" x14ac:dyDescent="0.25">
      <c r="B95" s="100" t="s">
        <v>1</v>
      </c>
      <c r="C95" s="89" t="s">
        <v>2</v>
      </c>
      <c r="D95" s="89" t="s">
        <v>3</v>
      </c>
      <c r="E95" s="93" t="s">
        <v>4</v>
      </c>
      <c r="F95" s="94"/>
      <c r="G95" s="91" t="s">
        <v>5</v>
      </c>
      <c r="H95" s="87" t="s">
        <v>6</v>
      </c>
      <c r="I95" s="91" t="s">
        <v>7</v>
      </c>
      <c r="J95" s="91" t="s">
        <v>8</v>
      </c>
      <c r="K95" s="89" t="s">
        <v>9</v>
      </c>
      <c r="L95" s="89" t="s">
        <v>10</v>
      </c>
      <c r="M95" s="87" t="s">
        <v>11</v>
      </c>
      <c r="N95" s="87" t="s">
        <v>12</v>
      </c>
      <c r="O95" s="85" t="s">
        <v>13</v>
      </c>
    </row>
    <row r="96" spans="2:15" x14ac:dyDescent="0.25">
      <c r="B96" s="101"/>
      <c r="C96" s="90"/>
      <c r="D96" s="90"/>
      <c r="E96" s="2" t="s">
        <v>14</v>
      </c>
      <c r="F96" s="2" t="s">
        <v>15</v>
      </c>
      <c r="G96" s="92"/>
      <c r="H96" s="88"/>
      <c r="I96" s="92"/>
      <c r="J96" s="92"/>
      <c r="K96" s="90"/>
      <c r="L96" s="90"/>
      <c r="M96" s="88"/>
      <c r="N96" s="88"/>
      <c r="O96" s="86"/>
    </row>
    <row r="97" spans="2:15" x14ac:dyDescent="0.25">
      <c r="B97" s="52">
        <v>45997</v>
      </c>
      <c r="C97" s="3" t="s">
        <v>36</v>
      </c>
      <c r="D97" s="4" t="s">
        <v>38</v>
      </c>
      <c r="E97" s="5">
        <v>16</v>
      </c>
      <c r="F97" s="5">
        <v>0</v>
      </c>
      <c r="G97" s="6" t="s">
        <v>26</v>
      </c>
      <c r="H97" s="5" t="s">
        <v>16</v>
      </c>
      <c r="I97" s="5" t="s">
        <v>16</v>
      </c>
      <c r="J97" s="7" t="s">
        <v>17</v>
      </c>
      <c r="K97" s="14">
        <v>9.2916666666666661</v>
      </c>
      <c r="L97" s="14">
        <v>10.958333333333334</v>
      </c>
      <c r="M97" s="33" t="s">
        <v>28</v>
      </c>
      <c r="N97" s="15">
        <f>(L1089-K1089)-TIME(9,0,0)</f>
        <v>-0.375</v>
      </c>
      <c r="O97" s="22">
        <f>L97-K97</f>
        <v>1.6666666666666679</v>
      </c>
    </row>
    <row r="98" spans="2:15" ht="15.75" thickBot="1" x14ac:dyDescent="0.3">
      <c r="B98" s="52">
        <v>45967</v>
      </c>
      <c r="C98" s="23" t="s">
        <v>36</v>
      </c>
      <c r="D98" s="4" t="s">
        <v>38</v>
      </c>
      <c r="E98" s="24">
        <v>0</v>
      </c>
      <c r="F98" s="24">
        <v>0</v>
      </c>
      <c r="G98" s="25" t="s">
        <v>20</v>
      </c>
      <c r="H98" s="24" t="s">
        <v>16</v>
      </c>
      <c r="I98" s="24" t="s">
        <v>16</v>
      </c>
      <c r="J98" s="26"/>
      <c r="K98" s="27"/>
      <c r="L98" s="27"/>
      <c r="M98" s="34" t="s">
        <v>19</v>
      </c>
      <c r="N98" s="29"/>
      <c r="O98" s="30"/>
    </row>
    <row r="99" spans="2:15" ht="15.75" x14ac:dyDescent="0.25">
      <c r="B99" s="78" t="s">
        <v>35</v>
      </c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1"/>
      <c r="O99" s="20"/>
    </row>
    <row r="100" spans="2:15" x14ac:dyDescent="0.25">
      <c r="B100" s="100" t="s">
        <v>1</v>
      </c>
      <c r="C100" s="89" t="s">
        <v>2</v>
      </c>
      <c r="D100" s="89" t="s">
        <v>3</v>
      </c>
      <c r="E100" s="93" t="s">
        <v>4</v>
      </c>
      <c r="F100" s="94"/>
      <c r="G100" s="91" t="s">
        <v>5</v>
      </c>
      <c r="H100" s="87" t="s">
        <v>6</v>
      </c>
      <c r="I100" s="91" t="s">
        <v>7</v>
      </c>
      <c r="J100" s="91" t="s">
        <v>8</v>
      </c>
      <c r="K100" s="89" t="s">
        <v>9</v>
      </c>
      <c r="L100" s="89" t="s">
        <v>10</v>
      </c>
      <c r="M100" s="87" t="s">
        <v>11</v>
      </c>
      <c r="N100" s="87" t="s">
        <v>12</v>
      </c>
      <c r="O100" s="85" t="s">
        <v>13</v>
      </c>
    </row>
    <row r="101" spans="2:15" x14ac:dyDescent="0.25">
      <c r="B101" s="101"/>
      <c r="C101" s="90"/>
      <c r="D101" s="90"/>
      <c r="E101" s="2" t="s">
        <v>14</v>
      </c>
      <c r="F101" s="2" t="s">
        <v>15</v>
      </c>
      <c r="G101" s="92"/>
      <c r="H101" s="88"/>
      <c r="I101" s="92"/>
      <c r="J101" s="92"/>
      <c r="K101" s="90"/>
      <c r="L101" s="90"/>
      <c r="M101" s="88"/>
      <c r="N101" s="88"/>
      <c r="O101" s="86"/>
    </row>
    <row r="102" spans="2:15" x14ac:dyDescent="0.25">
      <c r="B102" s="52">
        <v>45999</v>
      </c>
      <c r="C102" s="3" t="s">
        <v>36</v>
      </c>
      <c r="D102" s="4" t="s">
        <v>38</v>
      </c>
      <c r="E102" s="5">
        <v>10</v>
      </c>
      <c r="F102" s="5">
        <v>0</v>
      </c>
      <c r="G102" s="6" t="s">
        <v>26</v>
      </c>
      <c r="H102" s="5" t="s">
        <v>16</v>
      </c>
      <c r="I102" s="5" t="s">
        <v>16</v>
      </c>
      <c r="J102" s="7" t="s">
        <v>17</v>
      </c>
      <c r="K102" s="14">
        <v>9.2916666666666661</v>
      </c>
      <c r="L102" s="14">
        <v>10.708333333333334</v>
      </c>
      <c r="M102" s="33" t="s">
        <v>22</v>
      </c>
      <c r="N102" s="15">
        <f>(L1094-K1094)-TIME(9,0,0)</f>
        <v>-0.375</v>
      </c>
      <c r="O102" s="22">
        <f>L102-K102</f>
        <v>1.4166666666666679</v>
      </c>
    </row>
    <row r="103" spans="2:15" ht="15.75" thickBot="1" x14ac:dyDescent="0.3">
      <c r="B103" s="52">
        <v>45999</v>
      </c>
      <c r="C103" s="23" t="s">
        <v>36</v>
      </c>
      <c r="D103" s="4" t="s">
        <v>38</v>
      </c>
      <c r="E103" s="24">
        <v>0</v>
      </c>
      <c r="F103" s="24">
        <v>0</v>
      </c>
      <c r="G103" s="25" t="s">
        <v>20</v>
      </c>
      <c r="H103" s="24" t="s">
        <v>16</v>
      </c>
      <c r="I103" s="24" t="s">
        <v>16</v>
      </c>
      <c r="J103" s="26"/>
      <c r="K103" s="27"/>
      <c r="L103" s="27"/>
      <c r="M103" s="34" t="s">
        <v>19</v>
      </c>
      <c r="N103" s="29"/>
      <c r="O103" s="30"/>
    </row>
    <row r="104" spans="2:15" ht="15.75" x14ac:dyDescent="0.25">
      <c r="B104" s="78" t="s">
        <v>35</v>
      </c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1"/>
      <c r="O104" s="20"/>
    </row>
    <row r="105" spans="2:15" x14ac:dyDescent="0.25">
      <c r="B105" s="100" t="s">
        <v>1</v>
      </c>
      <c r="C105" s="89" t="s">
        <v>2</v>
      </c>
      <c r="D105" s="89" t="s">
        <v>3</v>
      </c>
      <c r="E105" s="93" t="s">
        <v>4</v>
      </c>
      <c r="F105" s="94"/>
      <c r="G105" s="91" t="s">
        <v>5</v>
      </c>
      <c r="H105" s="87" t="s">
        <v>6</v>
      </c>
      <c r="I105" s="91" t="s">
        <v>7</v>
      </c>
      <c r="J105" s="91" t="s">
        <v>8</v>
      </c>
      <c r="K105" s="89" t="s">
        <v>9</v>
      </c>
      <c r="L105" s="89" t="s">
        <v>10</v>
      </c>
      <c r="M105" s="87" t="s">
        <v>11</v>
      </c>
      <c r="N105" s="87" t="s">
        <v>12</v>
      </c>
      <c r="O105" s="85" t="s">
        <v>13</v>
      </c>
    </row>
    <row r="106" spans="2:15" x14ac:dyDescent="0.25">
      <c r="B106" s="101"/>
      <c r="C106" s="90"/>
      <c r="D106" s="90"/>
      <c r="E106" s="2" t="s">
        <v>14</v>
      </c>
      <c r="F106" s="2" t="s">
        <v>15</v>
      </c>
      <c r="G106" s="92"/>
      <c r="H106" s="88"/>
      <c r="I106" s="92"/>
      <c r="J106" s="92"/>
      <c r="K106" s="90"/>
      <c r="L106" s="90"/>
      <c r="M106" s="88"/>
      <c r="N106" s="88"/>
      <c r="O106" s="86"/>
    </row>
    <row r="107" spans="2:15" x14ac:dyDescent="0.25">
      <c r="B107" s="52">
        <v>46004</v>
      </c>
      <c r="C107" s="3" t="s">
        <v>36</v>
      </c>
      <c r="D107" s="4" t="s">
        <v>38</v>
      </c>
      <c r="E107" s="5">
        <v>16</v>
      </c>
      <c r="F107" s="5">
        <v>0</v>
      </c>
      <c r="G107" s="6" t="s">
        <v>26</v>
      </c>
      <c r="H107" s="5" t="s">
        <v>16</v>
      </c>
      <c r="I107" s="5" t="s">
        <v>16</v>
      </c>
      <c r="J107" s="7" t="s">
        <v>17</v>
      </c>
      <c r="K107" s="14">
        <v>9.2916666666666661</v>
      </c>
      <c r="L107" s="14">
        <v>10.958333333333334</v>
      </c>
      <c r="M107" s="33" t="s">
        <v>28</v>
      </c>
      <c r="N107" s="15">
        <f>(L1099-K1099)-TIME(9,0,0)</f>
        <v>-0.375</v>
      </c>
      <c r="O107" s="22">
        <f>L107-K107</f>
        <v>1.6666666666666679</v>
      </c>
    </row>
    <row r="108" spans="2:15" ht="15.75" thickBot="1" x14ac:dyDescent="0.3">
      <c r="B108" s="52">
        <v>46004</v>
      </c>
      <c r="C108" s="23" t="s">
        <v>36</v>
      </c>
      <c r="D108" s="4" t="s">
        <v>38</v>
      </c>
      <c r="E108" s="24">
        <v>0</v>
      </c>
      <c r="F108" s="24">
        <v>0</v>
      </c>
      <c r="G108" s="25" t="s">
        <v>20</v>
      </c>
      <c r="H108" s="24" t="s">
        <v>16</v>
      </c>
      <c r="I108" s="24" t="s">
        <v>16</v>
      </c>
      <c r="J108" s="26"/>
      <c r="K108" s="27"/>
      <c r="L108" s="27"/>
      <c r="M108" s="34" t="s">
        <v>19</v>
      </c>
      <c r="N108" s="29"/>
      <c r="O108" s="30"/>
    </row>
    <row r="109" spans="2:15" x14ac:dyDescent="0.25">
      <c r="B109" s="53"/>
      <c r="C109" s="8"/>
      <c r="D109" s="9"/>
      <c r="E109" s="10">
        <f>SUM(E107:E108)</f>
        <v>16</v>
      </c>
      <c r="F109" s="10">
        <f>SUM(F107:F108)</f>
        <v>0</v>
      </c>
      <c r="G109" s="11"/>
      <c r="H109" s="11"/>
      <c r="I109" s="11"/>
      <c r="J109" s="11"/>
      <c r="K109" s="12"/>
      <c r="L109" s="12"/>
      <c r="M109" s="9"/>
      <c r="N109" s="9"/>
      <c r="O109" s="9"/>
    </row>
    <row r="110" spans="2:15" x14ac:dyDescent="0.25">
      <c r="B110" s="53"/>
      <c r="C110" s="8"/>
      <c r="D110" s="9"/>
      <c r="E110" s="11"/>
      <c r="F110" s="11">
        <f>F109/60</f>
        <v>0</v>
      </c>
      <c r="G110" s="11"/>
      <c r="H110" s="11"/>
      <c r="I110" s="11"/>
      <c r="J110" s="11"/>
      <c r="K110" s="12"/>
      <c r="L110" s="12"/>
      <c r="M110" s="9"/>
      <c r="N110" s="9"/>
      <c r="O110" s="9"/>
    </row>
    <row r="111" spans="2:15" x14ac:dyDescent="0.25">
      <c r="B111" s="53"/>
      <c r="C111" s="8"/>
      <c r="D111" s="9"/>
      <c r="E111" s="13" t="s">
        <v>21</v>
      </c>
      <c r="F111" s="13">
        <f>E109+F110</f>
        <v>16</v>
      </c>
      <c r="G111" s="11"/>
      <c r="H111" s="11"/>
      <c r="I111" s="11"/>
      <c r="J111" s="11"/>
      <c r="K111" s="12"/>
      <c r="L111" s="12"/>
      <c r="M111" s="9"/>
      <c r="N111" s="9"/>
      <c r="O111" s="41"/>
    </row>
  </sheetData>
  <mergeCells count="269">
    <mergeCell ref="B79:M79"/>
    <mergeCell ref="B80:B81"/>
    <mergeCell ref="C80:C81"/>
    <mergeCell ref="D80:D81"/>
    <mergeCell ref="E80:F80"/>
    <mergeCell ref="G80:G81"/>
    <mergeCell ref="H80:H81"/>
    <mergeCell ref="I80:I81"/>
    <mergeCell ref="J80:J81"/>
    <mergeCell ref="K80:K81"/>
    <mergeCell ref="L80:L81"/>
    <mergeCell ref="M80:M81"/>
    <mergeCell ref="H90:H91"/>
    <mergeCell ref="I90:I91"/>
    <mergeCell ref="J90:J91"/>
    <mergeCell ref="K90:K91"/>
    <mergeCell ref="L90:L91"/>
    <mergeCell ref="M90:M91"/>
    <mergeCell ref="N80:N81"/>
    <mergeCell ref="O80:O81"/>
    <mergeCell ref="B84:M84"/>
    <mergeCell ref="B85:B86"/>
    <mergeCell ref="C85:C86"/>
    <mergeCell ref="D85:D86"/>
    <mergeCell ref="E85:F85"/>
    <mergeCell ref="G85:G86"/>
    <mergeCell ref="H85:H86"/>
    <mergeCell ref="I85:I86"/>
    <mergeCell ref="J85:J86"/>
    <mergeCell ref="K85:K86"/>
    <mergeCell ref="L85:L86"/>
    <mergeCell ref="M85:M86"/>
    <mergeCell ref="N85:N86"/>
    <mergeCell ref="O85:O86"/>
    <mergeCell ref="N74:N75"/>
    <mergeCell ref="O74:O75"/>
    <mergeCell ref="I59:I60"/>
    <mergeCell ref="J59:J60"/>
    <mergeCell ref="K59:K60"/>
    <mergeCell ref="L59:L60"/>
    <mergeCell ref="M59:M60"/>
    <mergeCell ref="N59:N60"/>
    <mergeCell ref="O59:O60"/>
    <mergeCell ref="B63:M63"/>
    <mergeCell ref="B73:M73"/>
    <mergeCell ref="B74:B75"/>
    <mergeCell ref="C74:C75"/>
    <mergeCell ref="D74:D75"/>
    <mergeCell ref="E74:F74"/>
    <mergeCell ref="G74:G75"/>
    <mergeCell ref="H74:H75"/>
    <mergeCell ref="I74:I75"/>
    <mergeCell ref="J74:J75"/>
    <mergeCell ref="K74:K75"/>
    <mergeCell ref="L74:L75"/>
    <mergeCell ref="M74:M75"/>
    <mergeCell ref="O64:O65"/>
    <mergeCell ref="B68:M68"/>
    <mergeCell ref="B69:B70"/>
    <mergeCell ref="C69:C70"/>
    <mergeCell ref="D69:D70"/>
    <mergeCell ref="E69:F69"/>
    <mergeCell ref="G69:G70"/>
    <mergeCell ref="H69:H70"/>
    <mergeCell ref="I69:I70"/>
    <mergeCell ref="J69:J70"/>
    <mergeCell ref="K69:K70"/>
    <mergeCell ref="L69:L70"/>
    <mergeCell ref="M69:M70"/>
    <mergeCell ref="N69:N70"/>
    <mergeCell ref="O69:O70"/>
    <mergeCell ref="B64:B65"/>
    <mergeCell ref="C64:C65"/>
    <mergeCell ref="D64:D65"/>
    <mergeCell ref="E64:F64"/>
    <mergeCell ref="G64:G65"/>
    <mergeCell ref="H64:H65"/>
    <mergeCell ref="I64:I65"/>
    <mergeCell ref="J64:J65"/>
    <mergeCell ref="K64:K65"/>
    <mergeCell ref="I18:I19"/>
    <mergeCell ref="J18:J19"/>
    <mergeCell ref="K18:K19"/>
    <mergeCell ref="L18:L19"/>
    <mergeCell ref="M18:M19"/>
    <mergeCell ref="N23:N24"/>
    <mergeCell ref="K49:K50"/>
    <mergeCell ref="L49:L50"/>
    <mergeCell ref="M49:M50"/>
    <mergeCell ref="N49:N50"/>
    <mergeCell ref="L64:L65"/>
    <mergeCell ref="M64:M65"/>
    <mergeCell ref="N64:N65"/>
    <mergeCell ref="O23:O24"/>
    <mergeCell ref="B22:M22"/>
    <mergeCell ref="B23:B24"/>
    <mergeCell ref="C23:C24"/>
    <mergeCell ref="D23:D24"/>
    <mergeCell ref="E23:F23"/>
    <mergeCell ref="G23:G24"/>
    <mergeCell ref="H23:H24"/>
    <mergeCell ref="I23:I24"/>
    <mergeCell ref="J23:J24"/>
    <mergeCell ref="K23:K24"/>
    <mergeCell ref="L23:L24"/>
    <mergeCell ref="M23:M24"/>
    <mergeCell ref="B11:O11"/>
    <mergeCell ref="N18:N19"/>
    <mergeCell ref="O18:O19"/>
    <mergeCell ref="B12:M12"/>
    <mergeCell ref="B13:B14"/>
    <mergeCell ref="C13:C14"/>
    <mergeCell ref="D13:D14"/>
    <mergeCell ref="E13:F13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B17:M17"/>
    <mergeCell ref="B18:B19"/>
    <mergeCell ref="C18:C19"/>
    <mergeCell ref="D18:D19"/>
    <mergeCell ref="E18:F18"/>
    <mergeCell ref="G18:G19"/>
    <mergeCell ref="H18:H19"/>
    <mergeCell ref="O49:O50"/>
    <mergeCell ref="O44:O45"/>
    <mergeCell ref="B48:M48"/>
    <mergeCell ref="B49:B50"/>
    <mergeCell ref="C49:C50"/>
    <mergeCell ref="D49:D50"/>
    <mergeCell ref="E49:F49"/>
    <mergeCell ref="G49:G50"/>
    <mergeCell ref="H49:H50"/>
    <mergeCell ref="I49:I50"/>
    <mergeCell ref="J49:J50"/>
    <mergeCell ref="I44:I45"/>
    <mergeCell ref="J44:J45"/>
    <mergeCell ref="K44:K45"/>
    <mergeCell ref="L44:L45"/>
    <mergeCell ref="M44:M45"/>
    <mergeCell ref="N44:N45"/>
    <mergeCell ref="B44:B45"/>
    <mergeCell ref="C44:C45"/>
    <mergeCell ref="E28:F28"/>
    <mergeCell ref="D28:D29"/>
    <mergeCell ref="C28:C29"/>
    <mergeCell ref="B28:B29"/>
    <mergeCell ref="B27:M27"/>
    <mergeCell ref="D44:D45"/>
    <mergeCell ref="E44:F44"/>
    <mergeCell ref="G44:G45"/>
    <mergeCell ref="H44:H45"/>
    <mergeCell ref="B43:M43"/>
    <mergeCell ref="B42:O42"/>
    <mergeCell ref="J33:J34"/>
    <mergeCell ref="I33:I34"/>
    <mergeCell ref="H33:H34"/>
    <mergeCell ref="G33:G34"/>
    <mergeCell ref="O28:O29"/>
    <mergeCell ref="N28:N29"/>
    <mergeCell ref="M28:M29"/>
    <mergeCell ref="L28:L29"/>
    <mergeCell ref="K28:K29"/>
    <mergeCell ref="J28:J29"/>
    <mergeCell ref="I28:I29"/>
    <mergeCell ref="H28:H29"/>
    <mergeCell ref="G28:G29"/>
    <mergeCell ref="E33:F33"/>
    <mergeCell ref="D33:D34"/>
    <mergeCell ref="C33:C34"/>
    <mergeCell ref="B33:B34"/>
    <mergeCell ref="B32:M32"/>
    <mergeCell ref="O38:O39"/>
    <mergeCell ref="N38:N39"/>
    <mergeCell ref="M38:M39"/>
    <mergeCell ref="L38:L39"/>
    <mergeCell ref="K38:K39"/>
    <mergeCell ref="J38:J39"/>
    <mergeCell ref="I38:I39"/>
    <mergeCell ref="H38:H39"/>
    <mergeCell ref="G38:G39"/>
    <mergeCell ref="E38:F38"/>
    <mergeCell ref="D38:D39"/>
    <mergeCell ref="C38:C39"/>
    <mergeCell ref="B38:B39"/>
    <mergeCell ref="B37:M37"/>
    <mergeCell ref="O33:O34"/>
    <mergeCell ref="N33:N34"/>
    <mergeCell ref="M33:M34"/>
    <mergeCell ref="L33:L34"/>
    <mergeCell ref="K33:K34"/>
    <mergeCell ref="I105:I106"/>
    <mergeCell ref="H105:H106"/>
    <mergeCell ref="G105:G106"/>
    <mergeCell ref="E54:F54"/>
    <mergeCell ref="D54:D55"/>
    <mergeCell ref="C54:C55"/>
    <mergeCell ref="B54:B55"/>
    <mergeCell ref="B53:M53"/>
    <mergeCell ref="O54:O55"/>
    <mergeCell ref="N54:N55"/>
    <mergeCell ref="M54:M55"/>
    <mergeCell ref="L54:L55"/>
    <mergeCell ref="K54:K55"/>
    <mergeCell ref="J54:J55"/>
    <mergeCell ref="I54:I55"/>
    <mergeCell ref="H54:H55"/>
    <mergeCell ref="G54:G55"/>
    <mergeCell ref="B58:M58"/>
    <mergeCell ref="B59:B60"/>
    <mergeCell ref="C59:C60"/>
    <mergeCell ref="D59:D60"/>
    <mergeCell ref="E59:F59"/>
    <mergeCell ref="G59:G60"/>
    <mergeCell ref="H59:H60"/>
    <mergeCell ref="E105:F105"/>
    <mergeCell ref="D105:D106"/>
    <mergeCell ref="C105:C106"/>
    <mergeCell ref="B105:B106"/>
    <mergeCell ref="B104:M104"/>
    <mergeCell ref="O100:O101"/>
    <mergeCell ref="N100:N101"/>
    <mergeCell ref="M100:M101"/>
    <mergeCell ref="L100:L101"/>
    <mergeCell ref="K100:K101"/>
    <mergeCell ref="J100:J101"/>
    <mergeCell ref="I100:I101"/>
    <mergeCell ref="H100:H101"/>
    <mergeCell ref="G100:G101"/>
    <mergeCell ref="E100:F100"/>
    <mergeCell ref="D100:D101"/>
    <mergeCell ref="C100:C101"/>
    <mergeCell ref="B100:B101"/>
    <mergeCell ref="O105:O106"/>
    <mergeCell ref="N105:N106"/>
    <mergeCell ref="M105:M106"/>
    <mergeCell ref="L105:L106"/>
    <mergeCell ref="K105:K106"/>
    <mergeCell ref="J105:J106"/>
    <mergeCell ref="B94:M94"/>
    <mergeCell ref="B78:O78"/>
    <mergeCell ref="B99:M99"/>
    <mergeCell ref="O95:O96"/>
    <mergeCell ref="N95:N96"/>
    <mergeCell ref="M95:M96"/>
    <mergeCell ref="L95:L96"/>
    <mergeCell ref="K95:K96"/>
    <mergeCell ref="J95:J96"/>
    <mergeCell ref="I95:I96"/>
    <mergeCell ref="H95:H96"/>
    <mergeCell ref="G95:G96"/>
    <mergeCell ref="E95:F95"/>
    <mergeCell ref="D95:D96"/>
    <mergeCell ref="C95:C96"/>
    <mergeCell ref="B95:B96"/>
    <mergeCell ref="N90:N91"/>
    <mergeCell ref="O90:O91"/>
    <mergeCell ref="B89:M89"/>
    <mergeCell ref="B90:B91"/>
    <mergeCell ref="C90:C91"/>
    <mergeCell ref="D90:D91"/>
    <mergeCell ref="E90:F90"/>
    <mergeCell ref="G90:G91"/>
  </mergeCells>
  <pageMargins left="0.25" right="0.25" top="0.75" bottom="0.75" header="0.3" footer="0.3"/>
  <pageSetup scale="54" fitToHeight="0" orientation="portrait" r:id="rId1"/>
  <rowBreaks count="1" manualBreakCount="1">
    <brk id="72" min="1" max="14" man="1"/>
  </rowBreaks>
  <colBreaks count="1" manualBreakCount="1">
    <brk id="15" max="18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6ED0-4341-42A9-BD44-D1EC6C8BA9CB}">
  <sheetPr>
    <pageSetUpPr fitToPage="1"/>
  </sheetPr>
  <dimension ref="B2:Q48"/>
  <sheetViews>
    <sheetView view="pageBreakPreview" zoomScaleNormal="85" zoomScaleSheetLayoutView="100" workbookViewId="0">
      <selection sqref="A1:XFD1048576"/>
    </sheetView>
  </sheetViews>
  <sheetFormatPr defaultColWidth="23.5703125" defaultRowHeight="15" x14ac:dyDescent="0.25"/>
  <cols>
    <col min="2" max="2" width="19.42578125" style="47" customWidth="1"/>
    <col min="3" max="3" width="14.5703125" customWidth="1"/>
    <col min="4" max="4" width="35" customWidth="1"/>
    <col min="5" max="5" width="14.42578125" bestFit="1" customWidth="1"/>
    <col min="6" max="6" width="9.28515625" bestFit="1" customWidth="1"/>
    <col min="7" max="7" width="31" customWidth="1"/>
    <col min="8" max="8" width="31" hidden="1" customWidth="1"/>
    <col min="9" max="9" width="21.42578125" hidden="1" customWidth="1"/>
    <col min="10" max="10" width="12.42578125" customWidth="1"/>
    <col min="11" max="11" width="13.28515625" customWidth="1"/>
    <col min="12" max="12" width="14" customWidth="1"/>
    <col min="13" max="13" width="13.7109375" customWidth="1"/>
    <col min="14" max="14" width="8" hidden="1" customWidth="1"/>
    <col min="15" max="15" width="16" bestFit="1" customWidth="1"/>
  </cols>
  <sheetData>
    <row r="2" spans="2:15" ht="15.75" thickBot="1" x14ac:dyDescent="0.3"/>
    <row r="3" spans="2:15" ht="20.25" x14ac:dyDescent="0.3">
      <c r="B3" s="48" t="s">
        <v>44</v>
      </c>
      <c r="C3" s="36"/>
      <c r="D3" s="36"/>
      <c r="E3" s="31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2:15" ht="20.25" x14ac:dyDescent="0.3">
      <c r="B4" s="49" t="s">
        <v>42</v>
      </c>
      <c r="C4" s="102" t="s">
        <v>43</v>
      </c>
      <c r="D4" s="102"/>
      <c r="E4" s="32"/>
      <c r="O4" s="18"/>
    </row>
    <row r="5" spans="2:15" ht="20.25" x14ac:dyDescent="0.3">
      <c r="B5" s="49" t="s">
        <v>52</v>
      </c>
      <c r="C5" s="38"/>
      <c r="D5" s="38"/>
      <c r="E5" s="32"/>
      <c r="O5" s="18"/>
    </row>
    <row r="6" spans="2:15" ht="20.25" x14ac:dyDescent="0.3">
      <c r="B6" s="49" t="s">
        <v>46</v>
      </c>
      <c r="C6" s="38"/>
      <c r="D6" s="38"/>
      <c r="E6" s="68">
        <f>Q45</f>
        <v>26.583333333333332</v>
      </c>
      <c r="O6" s="18"/>
    </row>
    <row r="7" spans="2:15" ht="21" thickBot="1" x14ac:dyDescent="0.35">
      <c r="B7" s="50" t="s">
        <v>30</v>
      </c>
      <c r="C7" s="40"/>
      <c r="D7" s="40"/>
      <c r="E7" s="67">
        <f>Q45</f>
        <v>26.583333333333332</v>
      </c>
      <c r="O7" s="18"/>
    </row>
    <row r="8" spans="2:15" x14ac:dyDescent="0.25">
      <c r="B8" s="51"/>
      <c r="O8" s="18"/>
    </row>
    <row r="9" spans="2:15" x14ac:dyDescent="0.25">
      <c r="B9" s="51"/>
      <c r="O9" s="18"/>
    </row>
    <row r="10" spans="2:15" ht="61.5" x14ac:dyDescent="0.25">
      <c r="B10" s="75" t="s">
        <v>47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7"/>
    </row>
    <row r="11" spans="2:15" ht="15.75" x14ac:dyDescent="0.25">
      <c r="B11" s="73" t="s">
        <v>52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1"/>
      <c r="O11" s="20"/>
    </row>
    <row r="12" spans="2:15" x14ac:dyDescent="0.25">
      <c r="B12" s="100" t="s">
        <v>1</v>
      </c>
      <c r="C12" s="89" t="s">
        <v>2</v>
      </c>
      <c r="D12" s="89" t="s">
        <v>3</v>
      </c>
      <c r="E12" s="93" t="s">
        <v>4</v>
      </c>
      <c r="F12" s="94"/>
      <c r="G12" s="91" t="s">
        <v>5</v>
      </c>
      <c r="H12" s="87" t="s">
        <v>6</v>
      </c>
      <c r="I12" s="91" t="s">
        <v>7</v>
      </c>
      <c r="J12" s="91" t="s">
        <v>8</v>
      </c>
      <c r="K12" s="89" t="s">
        <v>9</v>
      </c>
      <c r="L12" s="89" t="s">
        <v>10</v>
      </c>
      <c r="M12" s="87" t="s">
        <v>11</v>
      </c>
      <c r="N12" s="87" t="s">
        <v>12</v>
      </c>
      <c r="O12" s="85" t="s">
        <v>13</v>
      </c>
    </row>
    <row r="13" spans="2:15" x14ac:dyDescent="0.25">
      <c r="B13" s="101"/>
      <c r="C13" s="90"/>
      <c r="D13" s="90"/>
      <c r="E13" s="2" t="s">
        <v>14</v>
      </c>
      <c r="F13" s="2" t="s">
        <v>15</v>
      </c>
      <c r="G13" s="92"/>
      <c r="H13" s="88"/>
      <c r="I13" s="92"/>
      <c r="J13" s="92"/>
      <c r="K13" s="90"/>
      <c r="L13" s="90"/>
      <c r="M13" s="88"/>
      <c r="N13" s="88"/>
      <c r="O13" s="86"/>
    </row>
    <row r="14" spans="2:15" x14ac:dyDescent="0.25">
      <c r="B14" s="52">
        <v>46014</v>
      </c>
      <c r="C14" s="3" t="s">
        <v>51</v>
      </c>
      <c r="D14" s="4" t="s">
        <v>38</v>
      </c>
      <c r="E14" s="5">
        <v>4</v>
      </c>
      <c r="F14" s="5">
        <v>0</v>
      </c>
      <c r="G14" s="6" t="s">
        <v>26</v>
      </c>
      <c r="H14" s="5" t="s">
        <v>16</v>
      </c>
      <c r="I14" s="5" t="s">
        <v>16</v>
      </c>
      <c r="J14" s="7" t="s">
        <v>17</v>
      </c>
      <c r="K14" s="14">
        <v>9.75</v>
      </c>
      <c r="L14" s="14">
        <v>10.875</v>
      </c>
      <c r="M14" s="33" t="s">
        <v>18</v>
      </c>
      <c r="N14" s="15">
        <f>(L1006-K1006)-TIME(9,0,0)</f>
        <v>-0.375</v>
      </c>
      <c r="O14" s="22">
        <f>L14-K14</f>
        <v>1.125</v>
      </c>
    </row>
    <row r="15" spans="2:15" ht="15.75" thickBot="1" x14ac:dyDescent="0.3">
      <c r="B15" s="52">
        <v>46014</v>
      </c>
      <c r="C15" s="3" t="s">
        <v>51</v>
      </c>
      <c r="D15" s="4" t="s">
        <v>38</v>
      </c>
      <c r="E15" s="24">
        <v>0</v>
      </c>
      <c r="F15" s="24">
        <v>0</v>
      </c>
      <c r="G15" s="25" t="s">
        <v>20</v>
      </c>
      <c r="H15" s="24" t="s">
        <v>16</v>
      </c>
      <c r="I15" s="24" t="s">
        <v>16</v>
      </c>
      <c r="J15" s="26"/>
      <c r="K15" s="27"/>
      <c r="L15" s="27"/>
      <c r="M15" s="34" t="s">
        <v>19</v>
      </c>
      <c r="N15" s="29"/>
      <c r="O15" s="30"/>
    </row>
    <row r="16" spans="2:15" ht="15.75" x14ac:dyDescent="0.25">
      <c r="B16" s="73" t="s">
        <v>52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1"/>
      <c r="O16" s="20"/>
    </row>
    <row r="17" spans="2:15" x14ac:dyDescent="0.25">
      <c r="B17" s="100" t="s">
        <v>1</v>
      </c>
      <c r="C17" s="89" t="s">
        <v>2</v>
      </c>
      <c r="D17" s="89" t="s">
        <v>3</v>
      </c>
      <c r="E17" s="93" t="s">
        <v>4</v>
      </c>
      <c r="F17" s="94"/>
      <c r="G17" s="91" t="s">
        <v>5</v>
      </c>
      <c r="H17" s="87" t="s">
        <v>6</v>
      </c>
      <c r="I17" s="91" t="s">
        <v>7</v>
      </c>
      <c r="J17" s="91" t="s">
        <v>8</v>
      </c>
      <c r="K17" s="89" t="s">
        <v>9</v>
      </c>
      <c r="L17" s="89" t="s">
        <v>10</v>
      </c>
      <c r="M17" s="87" t="s">
        <v>11</v>
      </c>
      <c r="N17" s="87" t="s">
        <v>12</v>
      </c>
      <c r="O17" s="85" t="s">
        <v>13</v>
      </c>
    </row>
    <row r="18" spans="2:15" x14ac:dyDescent="0.25">
      <c r="B18" s="101"/>
      <c r="C18" s="90"/>
      <c r="D18" s="90"/>
      <c r="E18" s="2" t="s">
        <v>14</v>
      </c>
      <c r="F18" s="2" t="s">
        <v>15</v>
      </c>
      <c r="G18" s="92"/>
      <c r="H18" s="88"/>
      <c r="I18" s="92"/>
      <c r="J18" s="92"/>
      <c r="K18" s="90"/>
      <c r="L18" s="90"/>
      <c r="M18" s="88"/>
      <c r="N18" s="88"/>
      <c r="O18" s="86"/>
    </row>
    <row r="19" spans="2:15" x14ac:dyDescent="0.25">
      <c r="B19" s="52">
        <v>46015</v>
      </c>
      <c r="C19" s="3" t="s">
        <v>51</v>
      </c>
      <c r="D19" s="4" t="s">
        <v>38</v>
      </c>
      <c r="E19" s="5">
        <v>5</v>
      </c>
      <c r="F19" s="5">
        <v>0</v>
      </c>
      <c r="G19" s="6" t="s">
        <v>26</v>
      </c>
      <c r="H19" s="5" t="s">
        <v>16</v>
      </c>
      <c r="I19" s="5" t="s">
        <v>16</v>
      </c>
      <c r="J19" s="7" t="s">
        <v>17</v>
      </c>
      <c r="K19" s="14">
        <v>9.75</v>
      </c>
      <c r="L19" s="14">
        <v>10.958333333333334</v>
      </c>
      <c r="M19" s="33" t="s">
        <v>27</v>
      </c>
      <c r="N19" s="15">
        <f>(L1011-K1011)-TIME(9,0,0)</f>
        <v>-0.375</v>
      </c>
      <c r="O19" s="22">
        <f>L19-K19</f>
        <v>1.2083333333333339</v>
      </c>
    </row>
    <row r="20" spans="2:15" ht="15.75" thickBot="1" x14ac:dyDescent="0.3">
      <c r="B20" s="52">
        <v>46015</v>
      </c>
      <c r="C20" s="3" t="s">
        <v>51</v>
      </c>
      <c r="D20" s="4" t="s">
        <v>38</v>
      </c>
      <c r="E20" s="24">
        <v>0</v>
      </c>
      <c r="F20" s="24">
        <v>0</v>
      </c>
      <c r="G20" s="25" t="s">
        <v>20</v>
      </c>
      <c r="H20" s="24" t="s">
        <v>16</v>
      </c>
      <c r="I20" s="24" t="s">
        <v>16</v>
      </c>
      <c r="J20" s="26"/>
      <c r="K20" s="27"/>
      <c r="L20" s="27"/>
      <c r="M20" s="34" t="s">
        <v>19</v>
      </c>
      <c r="N20" s="29"/>
      <c r="O20" s="30"/>
    </row>
    <row r="21" spans="2:15" ht="15.75" x14ac:dyDescent="0.25">
      <c r="B21" s="73" t="s">
        <v>52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1"/>
      <c r="O21" s="20"/>
    </row>
    <row r="22" spans="2:15" x14ac:dyDescent="0.25">
      <c r="B22" s="100" t="s">
        <v>1</v>
      </c>
      <c r="C22" s="89" t="s">
        <v>2</v>
      </c>
      <c r="D22" s="89" t="s">
        <v>3</v>
      </c>
      <c r="E22" s="93" t="s">
        <v>4</v>
      </c>
      <c r="F22" s="94"/>
      <c r="G22" s="91" t="s">
        <v>5</v>
      </c>
      <c r="H22" s="87" t="s">
        <v>6</v>
      </c>
      <c r="I22" s="91" t="s">
        <v>7</v>
      </c>
      <c r="J22" s="91" t="s">
        <v>8</v>
      </c>
      <c r="K22" s="89" t="s">
        <v>9</v>
      </c>
      <c r="L22" s="89" t="s">
        <v>10</v>
      </c>
      <c r="M22" s="87" t="s">
        <v>11</v>
      </c>
      <c r="N22" s="87" t="s">
        <v>12</v>
      </c>
      <c r="O22" s="85" t="s">
        <v>13</v>
      </c>
    </row>
    <row r="23" spans="2:15" x14ac:dyDescent="0.25">
      <c r="B23" s="101"/>
      <c r="C23" s="90"/>
      <c r="D23" s="90"/>
      <c r="E23" s="2" t="s">
        <v>14</v>
      </c>
      <c r="F23" s="2" t="s">
        <v>15</v>
      </c>
      <c r="G23" s="92"/>
      <c r="H23" s="88"/>
      <c r="I23" s="92"/>
      <c r="J23" s="92"/>
      <c r="K23" s="90"/>
      <c r="L23" s="90"/>
      <c r="M23" s="88"/>
      <c r="N23" s="88"/>
      <c r="O23" s="86"/>
    </row>
    <row r="24" spans="2:15" x14ac:dyDescent="0.25">
      <c r="B24" s="52">
        <v>46018</v>
      </c>
      <c r="C24" s="3" t="s">
        <v>51</v>
      </c>
      <c r="D24" s="4" t="s">
        <v>38</v>
      </c>
      <c r="E24" s="5">
        <v>3</v>
      </c>
      <c r="F24" s="5">
        <v>25</v>
      </c>
      <c r="G24" s="6" t="s">
        <v>26</v>
      </c>
      <c r="H24" s="5" t="s">
        <v>16</v>
      </c>
      <c r="I24" s="5" t="s">
        <v>16</v>
      </c>
      <c r="J24" s="7" t="s">
        <v>17</v>
      </c>
      <c r="K24" s="14">
        <v>9.8159722222222214</v>
      </c>
      <c r="L24" s="14">
        <v>10.958333333333334</v>
      </c>
      <c r="M24" s="33" t="s">
        <v>22</v>
      </c>
      <c r="N24" s="15">
        <f>(L1016-K1016)-TIME(9,0,0)</f>
        <v>-0.375</v>
      </c>
      <c r="O24" s="22">
        <f>L24-K24</f>
        <v>1.1423611111111125</v>
      </c>
    </row>
    <row r="25" spans="2:15" ht="15.75" thickBot="1" x14ac:dyDescent="0.3">
      <c r="B25" s="52">
        <v>46018</v>
      </c>
      <c r="C25" s="3" t="s">
        <v>51</v>
      </c>
      <c r="D25" s="4" t="s">
        <v>38</v>
      </c>
      <c r="E25" s="24">
        <v>0</v>
      </c>
      <c r="F25" s="24">
        <v>0</v>
      </c>
      <c r="G25" s="25" t="s">
        <v>20</v>
      </c>
      <c r="H25" s="24" t="s">
        <v>16</v>
      </c>
      <c r="I25" s="24" t="s">
        <v>16</v>
      </c>
      <c r="J25" s="26"/>
      <c r="K25" s="27"/>
      <c r="L25" s="27"/>
      <c r="M25" s="34" t="s">
        <v>19</v>
      </c>
      <c r="N25" s="29"/>
      <c r="O25" s="30"/>
    </row>
    <row r="26" spans="2:15" ht="15.75" x14ac:dyDescent="0.25">
      <c r="B26" s="73" t="s">
        <v>52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1"/>
      <c r="O26" s="20"/>
    </row>
    <row r="27" spans="2:15" x14ac:dyDescent="0.25">
      <c r="B27" s="100" t="s">
        <v>1</v>
      </c>
      <c r="C27" s="89" t="s">
        <v>2</v>
      </c>
      <c r="D27" s="89" t="s">
        <v>3</v>
      </c>
      <c r="E27" s="93" t="s">
        <v>4</v>
      </c>
      <c r="F27" s="94"/>
      <c r="G27" s="91" t="s">
        <v>5</v>
      </c>
      <c r="H27" s="87" t="s">
        <v>6</v>
      </c>
      <c r="I27" s="91" t="s">
        <v>7</v>
      </c>
      <c r="J27" s="91" t="s">
        <v>8</v>
      </c>
      <c r="K27" s="89" t="s">
        <v>9</v>
      </c>
      <c r="L27" s="89" t="s">
        <v>10</v>
      </c>
      <c r="M27" s="87" t="s">
        <v>11</v>
      </c>
      <c r="N27" s="87" t="s">
        <v>12</v>
      </c>
      <c r="O27" s="85" t="s">
        <v>13</v>
      </c>
    </row>
    <row r="28" spans="2:15" x14ac:dyDescent="0.25">
      <c r="B28" s="101"/>
      <c r="C28" s="90"/>
      <c r="D28" s="90"/>
      <c r="E28" s="2" t="s">
        <v>14</v>
      </c>
      <c r="F28" s="2" t="s">
        <v>15</v>
      </c>
      <c r="G28" s="92"/>
      <c r="H28" s="88"/>
      <c r="I28" s="92"/>
      <c r="J28" s="92"/>
      <c r="K28" s="90"/>
      <c r="L28" s="90"/>
      <c r="M28" s="88"/>
      <c r="N28" s="88"/>
      <c r="O28" s="86"/>
    </row>
    <row r="29" spans="2:15" x14ac:dyDescent="0.25">
      <c r="B29" s="52">
        <v>46018</v>
      </c>
      <c r="C29" s="3" t="s">
        <v>51</v>
      </c>
      <c r="D29" s="4" t="s">
        <v>38</v>
      </c>
      <c r="E29" s="5">
        <v>3</v>
      </c>
      <c r="F29" s="5">
        <v>25</v>
      </c>
      <c r="G29" s="6" t="s">
        <v>26</v>
      </c>
      <c r="H29" s="5" t="s">
        <v>16</v>
      </c>
      <c r="I29" s="5" t="s">
        <v>16</v>
      </c>
      <c r="J29" s="7" t="s">
        <v>17</v>
      </c>
      <c r="K29" s="14">
        <v>9.8159722222222214</v>
      </c>
      <c r="L29" s="14">
        <v>10.958333333333334</v>
      </c>
      <c r="M29" s="33" t="s">
        <v>22</v>
      </c>
      <c r="N29" s="15">
        <f>(L1021-K1021)-TIME(9,0,0)</f>
        <v>-0.375</v>
      </c>
      <c r="O29" s="22">
        <f>L29-K29</f>
        <v>1.1423611111111125</v>
      </c>
    </row>
    <row r="30" spans="2:15" ht="15.75" thickBot="1" x14ac:dyDescent="0.3">
      <c r="B30" s="52">
        <v>46018</v>
      </c>
      <c r="C30" s="3" t="s">
        <v>51</v>
      </c>
      <c r="D30" s="4" t="s">
        <v>38</v>
      </c>
      <c r="E30" s="24">
        <v>0</v>
      </c>
      <c r="F30" s="24">
        <v>0</v>
      </c>
      <c r="G30" s="25" t="s">
        <v>20</v>
      </c>
      <c r="H30" s="24" t="s">
        <v>16</v>
      </c>
      <c r="I30" s="24" t="s">
        <v>16</v>
      </c>
      <c r="J30" s="26"/>
      <c r="K30" s="27"/>
      <c r="L30" s="27"/>
      <c r="M30" s="34" t="s">
        <v>19</v>
      </c>
      <c r="N30" s="29"/>
      <c r="O30" s="30"/>
    </row>
    <row r="31" spans="2:15" ht="15.75" x14ac:dyDescent="0.25">
      <c r="B31" s="73" t="s">
        <v>52</v>
      </c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1"/>
      <c r="O31" s="20"/>
    </row>
    <row r="32" spans="2:15" x14ac:dyDescent="0.25">
      <c r="B32" s="100" t="s">
        <v>1</v>
      </c>
      <c r="C32" s="89" t="s">
        <v>2</v>
      </c>
      <c r="D32" s="89" t="s">
        <v>3</v>
      </c>
      <c r="E32" s="93" t="s">
        <v>4</v>
      </c>
      <c r="F32" s="94"/>
      <c r="G32" s="91" t="s">
        <v>5</v>
      </c>
      <c r="H32" s="87" t="s">
        <v>6</v>
      </c>
      <c r="I32" s="91" t="s">
        <v>7</v>
      </c>
      <c r="J32" s="91" t="s">
        <v>8</v>
      </c>
      <c r="K32" s="89" t="s">
        <v>9</v>
      </c>
      <c r="L32" s="89" t="s">
        <v>10</v>
      </c>
      <c r="M32" s="87" t="s">
        <v>11</v>
      </c>
      <c r="N32" s="87" t="s">
        <v>12</v>
      </c>
      <c r="O32" s="85" t="s">
        <v>13</v>
      </c>
    </row>
    <row r="33" spans="2:17" x14ac:dyDescent="0.25">
      <c r="B33" s="101"/>
      <c r="C33" s="90"/>
      <c r="D33" s="90"/>
      <c r="E33" s="2" t="s">
        <v>14</v>
      </c>
      <c r="F33" s="2" t="s">
        <v>15</v>
      </c>
      <c r="G33" s="92"/>
      <c r="H33" s="88"/>
      <c r="I33" s="92"/>
      <c r="J33" s="92"/>
      <c r="K33" s="90"/>
      <c r="L33" s="90"/>
      <c r="M33" s="88"/>
      <c r="N33" s="88"/>
      <c r="O33" s="86"/>
    </row>
    <row r="34" spans="2:17" x14ac:dyDescent="0.25">
      <c r="B34" s="52">
        <v>46020</v>
      </c>
      <c r="C34" s="3" t="s">
        <v>51</v>
      </c>
      <c r="D34" s="4" t="s">
        <v>38</v>
      </c>
      <c r="E34" s="5">
        <v>3</v>
      </c>
      <c r="F34" s="5">
        <v>30</v>
      </c>
      <c r="G34" s="6" t="s">
        <v>26</v>
      </c>
      <c r="H34" s="5" t="s">
        <v>16</v>
      </c>
      <c r="I34" s="5" t="s">
        <v>16</v>
      </c>
      <c r="J34" s="7" t="s">
        <v>17</v>
      </c>
      <c r="K34" s="14">
        <v>9.7291666666666661</v>
      </c>
      <c r="L34" s="14">
        <v>10.875</v>
      </c>
      <c r="M34" s="33" t="s">
        <v>24</v>
      </c>
      <c r="N34" s="15">
        <f>(L1026-K1026)-TIME(9,0,0)</f>
        <v>-0.375</v>
      </c>
      <c r="O34" s="22">
        <f>L34-K34</f>
        <v>1.1458333333333339</v>
      </c>
    </row>
    <row r="35" spans="2:17" ht="15.75" thickBot="1" x14ac:dyDescent="0.3">
      <c r="B35" s="52">
        <v>46020</v>
      </c>
      <c r="C35" s="3" t="s">
        <v>51</v>
      </c>
      <c r="D35" s="4" t="s">
        <v>38</v>
      </c>
      <c r="E35" s="24">
        <v>0</v>
      </c>
      <c r="F35" s="24">
        <v>0</v>
      </c>
      <c r="G35" s="25" t="s">
        <v>20</v>
      </c>
      <c r="H35" s="24" t="s">
        <v>16</v>
      </c>
      <c r="I35" s="24" t="s">
        <v>16</v>
      </c>
      <c r="J35" s="26"/>
      <c r="K35" s="27"/>
      <c r="L35" s="27"/>
      <c r="M35" s="34" t="s">
        <v>19</v>
      </c>
      <c r="N35" s="29"/>
      <c r="O35" s="30"/>
    </row>
    <row r="36" spans="2:17" ht="15.75" x14ac:dyDescent="0.25">
      <c r="B36" s="73" t="s">
        <v>52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1"/>
      <c r="O36" s="20"/>
    </row>
    <row r="37" spans="2:17" x14ac:dyDescent="0.25">
      <c r="B37" s="100" t="s">
        <v>1</v>
      </c>
      <c r="C37" s="89" t="s">
        <v>2</v>
      </c>
      <c r="D37" s="89" t="s">
        <v>3</v>
      </c>
      <c r="E37" s="93" t="s">
        <v>4</v>
      </c>
      <c r="F37" s="94"/>
      <c r="G37" s="91" t="s">
        <v>5</v>
      </c>
      <c r="H37" s="87" t="s">
        <v>6</v>
      </c>
      <c r="I37" s="91" t="s">
        <v>7</v>
      </c>
      <c r="J37" s="91" t="s">
        <v>8</v>
      </c>
      <c r="K37" s="89" t="s">
        <v>9</v>
      </c>
      <c r="L37" s="89" t="s">
        <v>10</v>
      </c>
      <c r="M37" s="87" t="s">
        <v>11</v>
      </c>
      <c r="N37" s="87" t="s">
        <v>12</v>
      </c>
      <c r="O37" s="85" t="s">
        <v>13</v>
      </c>
    </row>
    <row r="38" spans="2:17" x14ac:dyDescent="0.25">
      <c r="B38" s="101"/>
      <c r="C38" s="90"/>
      <c r="D38" s="90"/>
      <c r="E38" s="2" t="s">
        <v>14</v>
      </c>
      <c r="F38" s="2" t="s">
        <v>15</v>
      </c>
      <c r="G38" s="92"/>
      <c r="H38" s="88"/>
      <c r="I38" s="92"/>
      <c r="J38" s="92"/>
      <c r="K38" s="90"/>
      <c r="L38" s="90"/>
      <c r="M38" s="88"/>
      <c r="N38" s="88"/>
      <c r="O38" s="86"/>
    </row>
    <row r="39" spans="2:17" x14ac:dyDescent="0.25">
      <c r="B39" s="52">
        <v>46021</v>
      </c>
      <c r="C39" s="3" t="s">
        <v>51</v>
      </c>
      <c r="D39" s="4" t="s">
        <v>38</v>
      </c>
      <c r="E39" s="5">
        <v>3</v>
      </c>
      <c r="F39" s="5">
        <v>30</v>
      </c>
      <c r="G39" s="6" t="s">
        <v>26</v>
      </c>
      <c r="H39" s="5" t="s">
        <v>16</v>
      </c>
      <c r="I39" s="5" t="s">
        <v>16</v>
      </c>
      <c r="J39" s="7" t="s">
        <v>17</v>
      </c>
      <c r="K39" s="14">
        <v>9.7291666666666661</v>
      </c>
      <c r="L39" s="14">
        <v>10.875</v>
      </c>
      <c r="M39" s="33" t="s">
        <v>18</v>
      </c>
      <c r="N39" s="15">
        <f>(L1031-K1031)-TIME(9,0,0)</f>
        <v>-0.375</v>
      </c>
      <c r="O39" s="22">
        <f>L39-K39</f>
        <v>1.1458333333333339</v>
      </c>
    </row>
    <row r="40" spans="2:17" ht="15.75" thickBot="1" x14ac:dyDescent="0.3">
      <c r="B40" s="52">
        <v>46021</v>
      </c>
      <c r="C40" s="3" t="s">
        <v>51</v>
      </c>
      <c r="D40" s="4" t="s">
        <v>38</v>
      </c>
      <c r="E40" s="24">
        <v>0</v>
      </c>
      <c r="F40" s="24">
        <v>0</v>
      </c>
      <c r="G40" s="25" t="s">
        <v>20</v>
      </c>
      <c r="H40" s="24" t="s">
        <v>16</v>
      </c>
      <c r="I40" s="24" t="s">
        <v>16</v>
      </c>
      <c r="J40" s="26"/>
      <c r="K40" s="27"/>
      <c r="L40" s="27"/>
      <c r="M40" s="34" t="s">
        <v>19</v>
      </c>
      <c r="N40" s="29"/>
      <c r="O40" s="30"/>
    </row>
    <row r="41" spans="2:17" ht="15.75" x14ac:dyDescent="0.25">
      <c r="B41" s="73" t="s">
        <v>52</v>
      </c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1"/>
      <c r="O41" s="20"/>
    </row>
    <row r="42" spans="2:17" x14ac:dyDescent="0.25">
      <c r="B42" s="100" t="s">
        <v>1</v>
      </c>
      <c r="C42" s="89" t="s">
        <v>2</v>
      </c>
      <c r="D42" s="89" t="s">
        <v>3</v>
      </c>
      <c r="E42" s="93" t="s">
        <v>4</v>
      </c>
      <c r="F42" s="94"/>
      <c r="G42" s="91" t="s">
        <v>5</v>
      </c>
      <c r="H42" s="87" t="s">
        <v>6</v>
      </c>
      <c r="I42" s="91" t="s">
        <v>7</v>
      </c>
      <c r="J42" s="91" t="s">
        <v>8</v>
      </c>
      <c r="K42" s="89" t="s">
        <v>9</v>
      </c>
      <c r="L42" s="89" t="s">
        <v>10</v>
      </c>
      <c r="M42" s="87" t="s">
        <v>11</v>
      </c>
      <c r="N42" s="87" t="s">
        <v>12</v>
      </c>
      <c r="O42" s="85" t="s">
        <v>13</v>
      </c>
      <c r="P42" s="2" t="s">
        <v>14</v>
      </c>
      <c r="Q42" s="2" t="s">
        <v>15</v>
      </c>
    </row>
    <row r="43" spans="2:17" x14ac:dyDescent="0.25">
      <c r="B43" s="101"/>
      <c r="C43" s="90"/>
      <c r="D43" s="90"/>
      <c r="E43" s="2" t="s">
        <v>14</v>
      </c>
      <c r="F43" s="2" t="s">
        <v>15</v>
      </c>
      <c r="G43" s="92"/>
      <c r="H43" s="88"/>
      <c r="I43" s="92"/>
      <c r="J43" s="92"/>
      <c r="K43" s="90"/>
      <c r="L43" s="90"/>
      <c r="M43" s="88"/>
      <c r="N43" s="88"/>
      <c r="O43" s="86"/>
      <c r="P43" s="45">
        <f>SUM(E44:E45,E39:E40,E34:E35,E29:E30,E24:E25,E19:E20,E14:E15)</f>
        <v>24</v>
      </c>
      <c r="Q43" s="45">
        <f>SUM(F44:F45,F39:F40,F34:F35,F29:F30,F24:F25,F19:F20,F14:F15)</f>
        <v>155</v>
      </c>
    </row>
    <row r="44" spans="2:17" x14ac:dyDescent="0.25">
      <c r="B44" s="52">
        <v>46022</v>
      </c>
      <c r="C44" s="3" t="s">
        <v>51</v>
      </c>
      <c r="D44" s="4" t="s">
        <v>38</v>
      </c>
      <c r="E44" s="5">
        <v>3</v>
      </c>
      <c r="F44" s="5">
        <v>45</v>
      </c>
      <c r="G44" s="6" t="s">
        <v>26</v>
      </c>
      <c r="H44" s="5" t="s">
        <v>16</v>
      </c>
      <c r="I44" s="5" t="s">
        <v>16</v>
      </c>
      <c r="J44" s="7" t="s">
        <v>17</v>
      </c>
      <c r="K44" s="14">
        <v>9.7395833333333339</v>
      </c>
      <c r="L44" s="14">
        <v>10.895833333333334</v>
      </c>
      <c r="M44" s="33" t="s">
        <v>27</v>
      </c>
      <c r="N44" s="15">
        <f>(L1036-K1036)-TIME(9,0,0)</f>
        <v>-0.375</v>
      </c>
      <c r="O44" s="22">
        <f>L44-K44</f>
        <v>1.15625</v>
      </c>
      <c r="P44" s="46"/>
      <c r="Q44" s="46">
        <f>Q43/60</f>
        <v>2.5833333333333335</v>
      </c>
    </row>
    <row r="45" spans="2:17" ht="15.75" thickBot="1" x14ac:dyDescent="0.3">
      <c r="B45" s="52">
        <v>46022</v>
      </c>
      <c r="C45" s="3" t="s">
        <v>51</v>
      </c>
      <c r="D45" s="4" t="s">
        <v>38</v>
      </c>
      <c r="E45" s="24">
        <v>0</v>
      </c>
      <c r="F45" s="24">
        <v>0</v>
      </c>
      <c r="G45" s="25" t="s">
        <v>20</v>
      </c>
      <c r="H45" s="24" t="s">
        <v>16</v>
      </c>
      <c r="I45" s="24" t="s">
        <v>16</v>
      </c>
      <c r="J45" s="26"/>
      <c r="K45" s="27"/>
      <c r="L45" s="27"/>
      <c r="M45" s="34" t="s">
        <v>19</v>
      </c>
      <c r="N45" s="29"/>
      <c r="O45" s="30"/>
      <c r="P45" s="13" t="s">
        <v>21</v>
      </c>
      <c r="Q45" s="66">
        <f>P43+Q44</f>
        <v>26.583333333333332</v>
      </c>
    </row>
    <row r="46" spans="2:17" x14ac:dyDescent="0.25">
      <c r="B46" s="53"/>
      <c r="C46" s="8"/>
      <c r="D46" s="9"/>
      <c r="E46" s="10">
        <f>SUM(E44:E45)</f>
        <v>3</v>
      </c>
      <c r="F46" s="10">
        <f>SUM(F44:F45)</f>
        <v>45</v>
      </c>
      <c r="G46" s="11"/>
      <c r="H46" s="11"/>
      <c r="I46" s="11"/>
      <c r="J46" s="11"/>
      <c r="K46" s="12"/>
      <c r="L46" s="12"/>
      <c r="M46" s="9"/>
      <c r="N46" s="9"/>
      <c r="O46" s="9"/>
    </row>
    <row r="47" spans="2:17" x14ac:dyDescent="0.25">
      <c r="B47" s="53"/>
      <c r="C47" s="8"/>
      <c r="D47" s="9"/>
      <c r="E47" s="11"/>
      <c r="F47" s="11">
        <f>F46/60</f>
        <v>0.75</v>
      </c>
      <c r="G47" s="11"/>
      <c r="H47" s="11"/>
      <c r="I47" s="11"/>
      <c r="J47" s="11"/>
      <c r="K47" s="12"/>
      <c r="L47" s="12"/>
      <c r="M47" s="9"/>
      <c r="N47" s="9"/>
      <c r="O47" s="9"/>
    </row>
    <row r="48" spans="2:17" x14ac:dyDescent="0.25">
      <c r="B48" s="53"/>
      <c r="C48" s="8"/>
      <c r="D48" s="9"/>
      <c r="E48" s="13" t="s">
        <v>21</v>
      </c>
      <c r="F48" s="13">
        <f>E46+F47</f>
        <v>3.75</v>
      </c>
      <c r="G48" s="11"/>
      <c r="H48" s="11"/>
      <c r="I48" s="11"/>
      <c r="J48" s="11"/>
      <c r="K48" s="12"/>
      <c r="L48" s="12"/>
      <c r="M48" s="9"/>
      <c r="N48" s="9"/>
      <c r="O48" s="41"/>
    </row>
  </sheetData>
  <mergeCells count="100">
    <mergeCell ref="E37:F37"/>
    <mergeCell ref="D37:D38"/>
    <mergeCell ref="C37:C38"/>
    <mergeCell ref="B37:B38"/>
    <mergeCell ref="B36:M36"/>
    <mergeCell ref="G42:G43"/>
    <mergeCell ref="E42:F42"/>
    <mergeCell ref="O42:O43"/>
    <mergeCell ref="N42:N43"/>
    <mergeCell ref="M42:M43"/>
    <mergeCell ref="L42:L43"/>
    <mergeCell ref="K42:K43"/>
    <mergeCell ref="D42:D43"/>
    <mergeCell ref="C42:C43"/>
    <mergeCell ref="B42:B43"/>
    <mergeCell ref="B41:M41"/>
    <mergeCell ref="O37:O38"/>
    <mergeCell ref="N37:N38"/>
    <mergeCell ref="M37:M38"/>
    <mergeCell ref="L37:L38"/>
    <mergeCell ref="K37:K38"/>
    <mergeCell ref="J37:J38"/>
    <mergeCell ref="I37:I38"/>
    <mergeCell ref="H37:H38"/>
    <mergeCell ref="G37:G38"/>
    <mergeCell ref="J42:J43"/>
    <mergeCell ref="I42:I43"/>
    <mergeCell ref="H42:H43"/>
    <mergeCell ref="C27:C28"/>
    <mergeCell ref="B27:B28"/>
    <mergeCell ref="B26:M26"/>
    <mergeCell ref="O32:O33"/>
    <mergeCell ref="N32:N33"/>
    <mergeCell ref="M32:M33"/>
    <mergeCell ref="L32:L33"/>
    <mergeCell ref="K32:K33"/>
    <mergeCell ref="J32:J33"/>
    <mergeCell ref="I32:I33"/>
    <mergeCell ref="H32:H33"/>
    <mergeCell ref="G32:G33"/>
    <mergeCell ref="E32:F32"/>
    <mergeCell ref="D32:D33"/>
    <mergeCell ref="C32:C33"/>
    <mergeCell ref="B32:B33"/>
    <mergeCell ref="B31:M31"/>
    <mergeCell ref="O22:O23"/>
    <mergeCell ref="N22:N23"/>
    <mergeCell ref="M22:M23"/>
    <mergeCell ref="L22:L23"/>
    <mergeCell ref="K22:K23"/>
    <mergeCell ref="C22:C23"/>
    <mergeCell ref="B22:B23"/>
    <mergeCell ref="O27:O28"/>
    <mergeCell ref="N27:N28"/>
    <mergeCell ref="M27:M28"/>
    <mergeCell ref="L27:L28"/>
    <mergeCell ref="K27:K28"/>
    <mergeCell ref="J27:J28"/>
    <mergeCell ref="I27:I28"/>
    <mergeCell ref="B12:B13"/>
    <mergeCell ref="B11:M11"/>
    <mergeCell ref="B21:M21"/>
    <mergeCell ref="J22:J23"/>
    <mergeCell ref="I22:I23"/>
    <mergeCell ref="H22:H23"/>
    <mergeCell ref="G22:G23"/>
    <mergeCell ref="E22:F22"/>
    <mergeCell ref="D22:D23"/>
    <mergeCell ref="B17:B18"/>
    <mergeCell ref="B16:M16"/>
    <mergeCell ref="B10:O10"/>
    <mergeCell ref="O17:O18"/>
    <mergeCell ref="N17:N18"/>
    <mergeCell ref="M17:M18"/>
    <mergeCell ref="L17:L18"/>
    <mergeCell ref="K17:K18"/>
    <mergeCell ref="J17:J18"/>
    <mergeCell ref="I17:I18"/>
    <mergeCell ref="H17:H18"/>
    <mergeCell ref="G17:G18"/>
    <mergeCell ref="G12:G13"/>
    <mergeCell ref="E12:F12"/>
    <mergeCell ref="D12:D13"/>
    <mergeCell ref="C12:C13"/>
    <mergeCell ref="H27:H28"/>
    <mergeCell ref="G27:G28"/>
    <mergeCell ref="E27:F27"/>
    <mergeCell ref="C4:D4"/>
    <mergeCell ref="O12:O13"/>
    <mergeCell ref="N12:N13"/>
    <mergeCell ref="M12:M13"/>
    <mergeCell ref="L12:L13"/>
    <mergeCell ref="K12:K13"/>
    <mergeCell ref="J12:J13"/>
    <mergeCell ref="I12:I13"/>
    <mergeCell ref="H12:H13"/>
    <mergeCell ref="E17:F17"/>
    <mergeCell ref="D17:D18"/>
    <mergeCell ref="C17:C18"/>
    <mergeCell ref="D27:D28"/>
  </mergeCells>
  <pageMargins left="0.7" right="0.7" top="0.75" bottom="0.75" header="0.3" footer="0.3"/>
  <pageSetup paperSize="9" scale="67" fitToHeight="0" orientation="landscape" horizontalDpi="0" verticalDpi="0" r:id="rId1"/>
  <colBreaks count="1" manualBreakCount="1">
    <brk id="15" max="37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37B0-3D89-4C1C-9D01-9814DAC24A4A}">
  <sheetPr>
    <pageSetUpPr fitToPage="1"/>
  </sheetPr>
  <dimension ref="B2:Q58"/>
  <sheetViews>
    <sheetView tabSelected="1" view="pageBreakPreview" zoomScale="115" zoomScaleNormal="100" zoomScaleSheetLayoutView="115" workbookViewId="0">
      <selection activeCell="M9" sqref="M9"/>
    </sheetView>
  </sheetViews>
  <sheetFormatPr defaultColWidth="23.5703125" defaultRowHeight="15" x14ac:dyDescent="0.25"/>
  <cols>
    <col min="2" max="2" width="17.7109375" customWidth="1"/>
    <col min="3" max="3" width="8.85546875" customWidth="1"/>
    <col min="4" max="4" width="21.7109375" bestFit="1" customWidth="1"/>
    <col min="5" max="5" width="14.42578125" bestFit="1" customWidth="1"/>
    <col min="6" max="6" width="9.28515625" bestFit="1" customWidth="1"/>
    <col min="7" max="7" width="19.140625" bestFit="1" customWidth="1"/>
    <col min="8" max="8" width="31" hidden="1" customWidth="1"/>
    <col min="9" max="9" width="21.42578125" hidden="1" customWidth="1"/>
    <col min="10" max="10" width="12.42578125" customWidth="1"/>
    <col min="11" max="11" width="13.28515625" customWidth="1"/>
    <col min="12" max="12" width="14" customWidth="1"/>
    <col min="13" max="13" width="13.7109375" customWidth="1"/>
    <col min="14" max="14" width="8" hidden="1" customWidth="1"/>
    <col min="15" max="15" width="16" bestFit="1" customWidth="1"/>
  </cols>
  <sheetData>
    <row r="2" spans="2:15" ht="15.75" thickBot="1" x14ac:dyDescent="0.3"/>
    <row r="3" spans="2:15" ht="20.25" x14ac:dyDescent="0.3">
      <c r="B3" s="35" t="s">
        <v>44</v>
      </c>
      <c r="C3" s="36"/>
      <c r="D3" s="36"/>
      <c r="E3" s="31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2:15" ht="20.25" x14ac:dyDescent="0.3">
      <c r="B4" s="37" t="s">
        <v>42</v>
      </c>
      <c r="C4" s="38" t="s">
        <v>38</v>
      </c>
      <c r="D4" s="38"/>
      <c r="E4" s="32"/>
      <c r="O4" s="18"/>
    </row>
    <row r="5" spans="2:15" ht="20.25" x14ac:dyDescent="0.3">
      <c r="B5" s="69" t="s">
        <v>61</v>
      </c>
      <c r="C5" s="70"/>
      <c r="D5" s="70"/>
      <c r="E5" s="32"/>
      <c r="O5" s="18"/>
    </row>
    <row r="6" spans="2:15" ht="20.25" x14ac:dyDescent="0.3">
      <c r="B6" s="37" t="s">
        <v>55</v>
      </c>
      <c r="C6" s="38"/>
      <c r="D6" s="38"/>
      <c r="E6" s="68">
        <f>Q55</f>
        <v>44.5</v>
      </c>
      <c r="O6" s="18"/>
    </row>
    <row r="7" spans="2:15" ht="21" thickBot="1" x14ac:dyDescent="0.35">
      <c r="B7" s="39" t="s">
        <v>30</v>
      </c>
      <c r="C7" s="40"/>
      <c r="D7" s="40"/>
      <c r="E7" s="67">
        <f>E6</f>
        <v>44.5</v>
      </c>
      <c r="O7" s="18"/>
    </row>
    <row r="8" spans="2:15" x14ac:dyDescent="0.25">
      <c r="B8" s="19"/>
      <c r="O8" s="18"/>
    </row>
    <row r="9" spans="2:15" ht="15.75" thickBot="1" x14ac:dyDescent="0.3">
      <c r="B9" s="19"/>
      <c r="O9" s="18"/>
    </row>
    <row r="10" spans="2:15" ht="62.25" thickBot="1" x14ac:dyDescent="0.3">
      <c r="B10" s="80" t="s">
        <v>54</v>
      </c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2"/>
    </row>
    <row r="11" spans="2:15" ht="15.75" x14ac:dyDescent="0.25">
      <c r="B11" s="73" t="s">
        <v>59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1"/>
      <c r="O11" s="20"/>
    </row>
    <row r="12" spans="2:15" x14ac:dyDescent="0.25">
      <c r="B12" s="56" t="s">
        <v>1</v>
      </c>
      <c r="C12" s="54" t="s">
        <v>2</v>
      </c>
      <c r="D12" s="54" t="s">
        <v>3</v>
      </c>
      <c r="E12" s="62" t="s">
        <v>4</v>
      </c>
      <c r="F12" s="63"/>
      <c r="G12" s="58" t="s">
        <v>5</v>
      </c>
      <c r="H12" s="60" t="s">
        <v>6</v>
      </c>
      <c r="I12" s="58" t="s">
        <v>7</v>
      </c>
      <c r="J12" s="58" t="s">
        <v>8</v>
      </c>
      <c r="K12" s="54" t="s">
        <v>9</v>
      </c>
      <c r="L12" s="54" t="s">
        <v>10</v>
      </c>
      <c r="M12" s="60" t="s">
        <v>11</v>
      </c>
      <c r="N12" s="60" t="s">
        <v>12</v>
      </c>
      <c r="O12" s="64" t="s">
        <v>13</v>
      </c>
    </row>
    <row r="13" spans="2:15" x14ac:dyDescent="0.25">
      <c r="B13" s="57"/>
      <c r="C13" s="55"/>
      <c r="D13" s="55"/>
      <c r="E13" s="2" t="s">
        <v>14</v>
      </c>
      <c r="F13" s="2" t="s">
        <v>15</v>
      </c>
      <c r="G13" s="59"/>
      <c r="H13" s="61"/>
      <c r="I13" s="59"/>
      <c r="J13" s="59"/>
      <c r="K13" s="55"/>
      <c r="L13" s="55"/>
      <c r="M13" s="61"/>
      <c r="N13" s="61"/>
      <c r="O13" s="65"/>
    </row>
    <row r="14" spans="2:15" x14ac:dyDescent="0.25">
      <c r="B14" s="21">
        <v>46026</v>
      </c>
      <c r="C14" s="3" t="s">
        <v>60</v>
      </c>
      <c r="D14" s="4" t="s">
        <v>38</v>
      </c>
      <c r="E14" s="5">
        <v>7</v>
      </c>
      <c r="F14" s="5">
        <v>0</v>
      </c>
      <c r="G14" s="6" t="s">
        <v>26</v>
      </c>
      <c r="H14" s="5" t="s">
        <v>16</v>
      </c>
      <c r="I14" s="5" t="s">
        <v>16</v>
      </c>
      <c r="J14" s="7" t="s">
        <v>17</v>
      </c>
      <c r="K14" s="14">
        <v>9.4166666666666661</v>
      </c>
      <c r="L14" s="14">
        <v>10.604166666666666</v>
      </c>
      <c r="M14" s="33" t="s">
        <v>23</v>
      </c>
      <c r="N14" s="15">
        <f>(L1020-K1020)-TIME(9,0,0)</f>
        <v>-0.375</v>
      </c>
      <c r="O14" s="22">
        <f>L14-K14</f>
        <v>1.1875</v>
      </c>
    </row>
    <row r="15" spans="2:15" ht="15.75" thickBot="1" x14ac:dyDescent="0.3">
      <c r="B15" s="21">
        <v>46026</v>
      </c>
      <c r="C15" s="23" t="s">
        <v>60</v>
      </c>
      <c r="D15" s="4" t="s">
        <v>38</v>
      </c>
      <c r="E15" s="24">
        <v>0</v>
      </c>
      <c r="F15" s="24">
        <v>0</v>
      </c>
      <c r="G15" s="25" t="s">
        <v>20</v>
      </c>
      <c r="H15" s="24" t="s">
        <v>16</v>
      </c>
      <c r="I15" s="24" t="s">
        <v>16</v>
      </c>
      <c r="J15" s="26"/>
      <c r="K15" s="27"/>
      <c r="L15" s="27"/>
      <c r="M15" s="34" t="s">
        <v>19</v>
      </c>
      <c r="N15" s="29"/>
      <c r="O15" s="30"/>
    </row>
    <row r="16" spans="2:15" ht="15.75" x14ac:dyDescent="0.25">
      <c r="B16" s="73" t="s">
        <v>59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1"/>
      <c r="O16" s="20"/>
    </row>
    <row r="17" spans="2:15" x14ac:dyDescent="0.25">
      <c r="B17" s="56" t="s">
        <v>1</v>
      </c>
      <c r="C17" s="54" t="s">
        <v>2</v>
      </c>
      <c r="D17" s="54" t="s">
        <v>3</v>
      </c>
      <c r="E17" s="62" t="s">
        <v>4</v>
      </c>
      <c r="F17" s="63"/>
      <c r="G17" s="58" t="s">
        <v>5</v>
      </c>
      <c r="H17" s="60" t="s">
        <v>6</v>
      </c>
      <c r="I17" s="58" t="s">
        <v>7</v>
      </c>
      <c r="J17" s="58" t="s">
        <v>8</v>
      </c>
      <c r="K17" s="54" t="s">
        <v>9</v>
      </c>
      <c r="L17" s="54" t="s">
        <v>10</v>
      </c>
      <c r="M17" s="60" t="s">
        <v>11</v>
      </c>
      <c r="N17" s="60" t="s">
        <v>12</v>
      </c>
      <c r="O17" s="64" t="s">
        <v>13</v>
      </c>
    </row>
    <row r="18" spans="2:15" x14ac:dyDescent="0.25">
      <c r="B18" s="57"/>
      <c r="C18" s="55"/>
      <c r="D18" s="55"/>
      <c r="E18" s="2" t="s">
        <v>14</v>
      </c>
      <c r="F18" s="2" t="s">
        <v>15</v>
      </c>
      <c r="G18" s="59"/>
      <c r="H18" s="61"/>
      <c r="I18" s="59"/>
      <c r="J18" s="59"/>
      <c r="K18" s="55"/>
      <c r="L18" s="55"/>
      <c r="M18" s="61"/>
      <c r="N18" s="61"/>
      <c r="O18" s="65"/>
    </row>
    <row r="19" spans="2:15" x14ac:dyDescent="0.25">
      <c r="B19" s="21">
        <v>46032</v>
      </c>
      <c r="C19" s="3" t="s">
        <v>60</v>
      </c>
      <c r="D19" s="4" t="s">
        <v>38</v>
      </c>
      <c r="E19" s="5">
        <v>5</v>
      </c>
      <c r="F19" s="5">
        <v>0</v>
      </c>
      <c r="G19" s="6" t="s">
        <v>26</v>
      </c>
      <c r="H19" s="5" t="s">
        <v>16</v>
      </c>
      <c r="I19" s="5" t="s">
        <v>16</v>
      </c>
      <c r="J19" s="7" t="s">
        <v>17</v>
      </c>
      <c r="K19" s="14">
        <v>9.625</v>
      </c>
      <c r="L19" s="14">
        <v>10.833333333333334</v>
      </c>
      <c r="M19" s="33" t="s">
        <v>22</v>
      </c>
      <c r="N19" s="15">
        <f>(L1025-K1025)-TIME(9,0,0)</f>
        <v>-0.375</v>
      </c>
      <c r="O19" s="22">
        <f>L19-K19</f>
        <v>1.2083333333333339</v>
      </c>
    </row>
    <row r="20" spans="2:15" ht="15.75" thickBot="1" x14ac:dyDescent="0.3">
      <c r="B20" s="21">
        <v>46032</v>
      </c>
      <c r="C20" s="23" t="s">
        <v>60</v>
      </c>
      <c r="D20" s="4" t="s">
        <v>38</v>
      </c>
      <c r="E20" s="24">
        <v>0</v>
      </c>
      <c r="F20" s="24">
        <v>0</v>
      </c>
      <c r="G20" s="25" t="s">
        <v>20</v>
      </c>
      <c r="H20" s="24" t="s">
        <v>16</v>
      </c>
      <c r="I20" s="24" t="s">
        <v>16</v>
      </c>
      <c r="J20" s="26"/>
      <c r="K20" s="27"/>
      <c r="L20" s="27"/>
      <c r="M20" s="34" t="s">
        <v>19</v>
      </c>
      <c r="N20" s="29"/>
      <c r="O20" s="30"/>
    </row>
    <row r="21" spans="2:15" ht="15.75" x14ac:dyDescent="0.25">
      <c r="B21" s="73" t="s">
        <v>59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1"/>
      <c r="O21" s="20"/>
    </row>
    <row r="22" spans="2:15" x14ac:dyDescent="0.25">
      <c r="B22" s="56" t="s">
        <v>1</v>
      </c>
      <c r="C22" s="54" t="s">
        <v>2</v>
      </c>
      <c r="D22" s="54" t="s">
        <v>3</v>
      </c>
      <c r="E22" s="62" t="s">
        <v>4</v>
      </c>
      <c r="F22" s="63"/>
      <c r="G22" s="58" t="s">
        <v>5</v>
      </c>
      <c r="H22" s="60" t="s">
        <v>6</v>
      </c>
      <c r="I22" s="58" t="s">
        <v>7</v>
      </c>
      <c r="J22" s="58" t="s">
        <v>8</v>
      </c>
      <c r="K22" s="54" t="s">
        <v>9</v>
      </c>
      <c r="L22" s="54" t="s">
        <v>10</v>
      </c>
      <c r="M22" s="60" t="s">
        <v>11</v>
      </c>
      <c r="N22" s="60" t="s">
        <v>12</v>
      </c>
      <c r="O22" s="64" t="s">
        <v>13</v>
      </c>
    </row>
    <row r="23" spans="2:15" x14ac:dyDescent="0.25">
      <c r="B23" s="57"/>
      <c r="C23" s="55"/>
      <c r="D23" s="55"/>
      <c r="E23" s="2" t="s">
        <v>14</v>
      </c>
      <c r="F23" s="2" t="s">
        <v>15</v>
      </c>
      <c r="G23" s="59"/>
      <c r="H23" s="61"/>
      <c r="I23" s="59"/>
      <c r="J23" s="59"/>
      <c r="K23" s="55"/>
      <c r="L23" s="55"/>
      <c r="M23" s="61"/>
      <c r="N23" s="61"/>
      <c r="O23" s="65"/>
    </row>
    <row r="24" spans="2:15" x14ac:dyDescent="0.25">
      <c r="B24" s="21">
        <v>46033</v>
      </c>
      <c r="C24" s="3" t="s">
        <v>60</v>
      </c>
      <c r="D24" s="4" t="s">
        <v>38</v>
      </c>
      <c r="E24" s="5">
        <v>5</v>
      </c>
      <c r="F24" s="5">
        <v>0</v>
      </c>
      <c r="G24" s="6" t="s">
        <v>26</v>
      </c>
      <c r="H24" s="5" t="s">
        <v>16</v>
      </c>
      <c r="I24" s="5" t="s">
        <v>16</v>
      </c>
      <c r="J24" s="7" t="s">
        <v>17</v>
      </c>
      <c r="K24" s="14">
        <v>9.3333333333333339</v>
      </c>
      <c r="L24" s="14">
        <v>10.541666666666666</v>
      </c>
      <c r="M24" s="33" t="s">
        <v>23</v>
      </c>
      <c r="N24" s="15">
        <f>(L1024-K1024)-TIME(9,0,0)</f>
        <v>-0.375</v>
      </c>
      <c r="O24" s="22">
        <f>L24-K24</f>
        <v>1.2083333333333321</v>
      </c>
    </row>
    <row r="25" spans="2:15" ht="15.75" thickBot="1" x14ac:dyDescent="0.3">
      <c r="B25" s="21">
        <v>46033</v>
      </c>
      <c r="C25" s="23" t="s">
        <v>60</v>
      </c>
      <c r="D25" s="4" t="s">
        <v>38</v>
      </c>
      <c r="E25" s="24">
        <v>0</v>
      </c>
      <c r="F25" s="24">
        <v>0</v>
      </c>
      <c r="G25" s="25" t="s">
        <v>20</v>
      </c>
      <c r="H25" s="24" t="s">
        <v>16</v>
      </c>
      <c r="I25" s="24" t="s">
        <v>16</v>
      </c>
      <c r="J25" s="26"/>
      <c r="K25" s="27"/>
      <c r="L25" s="27"/>
      <c r="M25" s="34" t="s">
        <v>19</v>
      </c>
      <c r="N25" s="29"/>
      <c r="O25" s="30"/>
    </row>
    <row r="26" spans="2:15" ht="15.75" x14ac:dyDescent="0.25">
      <c r="B26" s="73" t="s">
        <v>59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1"/>
      <c r="O26" s="20"/>
    </row>
    <row r="27" spans="2:15" x14ac:dyDescent="0.25">
      <c r="B27" s="56" t="s">
        <v>1</v>
      </c>
      <c r="C27" s="54" t="s">
        <v>2</v>
      </c>
      <c r="D27" s="54" t="s">
        <v>3</v>
      </c>
      <c r="E27" s="62" t="s">
        <v>4</v>
      </c>
      <c r="F27" s="63"/>
      <c r="G27" s="58" t="s">
        <v>5</v>
      </c>
      <c r="H27" s="60" t="s">
        <v>6</v>
      </c>
      <c r="I27" s="58" t="s">
        <v>7</v>
      </c>
      <c r="J27" s="58" t="s">
        <v>8</v>
      </c>
      <c r="K27" s="54" t="s">
        <v>9</v>
      </c>
      <c r="L27" s="54" t="s">
        <v>10</v>
      </c>
      <c r="M27" s="60" t="s">
        <v>11</v>
      </c>
      <c r="N27" s="60" t="s">
        <v>12</v>
      </c>
      <c r="O27" s="64" t="s">
        <v>13</v>
      </c>
    </row>
    <row r="28" spans="2:15" x14ac:dyDescent="0.25">
      <c r="B28" s="57"/>
      <c r="C28" s="55"/>
      <c r="D28" s="55"/>
      <c r="E28" s="2" t="s">
        <v>14</v>
      </c>
      <c r="F28" s="2" t="s">
        <v>15</v>
      </c>
      <c r="G28" s="59"/>
      <c r="H28" s="61"/>
      <c r="I28" s="59"/>
      <c r="J28" s="59"/>
      <c r="K28" s="55"/>
      <c r="L28" s="55"/>
      <c r="M28" s="61"/>
      <c r="N28" s="61"/>
      <c r="O28" s="65"/>
    </row>
    <row r="29" spans="2:15" x14ac:dyDescent="0.25">
      <c r="B29" s="21">
        <v>46034</v>
      </c>
      <c r="C29" s="3" t="s">
        <v>60</v>
      </c>
      <c r="D29" s="4" t="s">
        <v>38</v>
      </c>
      <c r="E29" s="5">
        <v>4</v>
      </c>
      <c r="F29" s="5">
        <v>0</v>
      </c>
      <c r="G29" s="6" t="s">
        <v>26</v>
      </c>
      <c r="H29" s="5" t="s">
        <v>16</v>
      </c>
      <c r="I29" s="5" t="s">
        <v>16</v>
      </c>
      <c r="J29" s="7" t="s">
        <v>17</v>
      </c>
      <c r="K29" s="14">
        <v>9.7083333333333339</v>
      </c>
      <c r="L29" s="14">
        <v>10.875</v>
      </c>
      <c r="M29" s="33" t="s">
        <v>24</v>
      </c>
      <c r="N29" s="15">
        <f>(L1030-K1030)-TIME(9,0,0)</f>
        <v>-0.375</v>
      </c>
      <c r="O29" s="22">
        <f>L29-K29</f>
        <v>1.1666666666666661</v>
      </c>
    </row>
    <row r="30" spans="2:15" ht="15.75" thickBot="1" x14ac:dyDescent="0.3">
      <c r="B30" s="21">
        <v>46034</v>
      </c>
      <c r="C30" s="23" t="s">
        <v>60</v>
      </c>
      <c r="D30" s="4" t="s">
        <v>38</v>
      </c>
      <c r="E30" s="24">
        <v>0</v>
      </c>
      <c r="F30" s="24">
        <v>0</v>
      </c>
      <c r="G30" s="25" t="s">
        <v>20</v>
      </c>
      <c r="H30" s="24" t="s">
        <v>16</v>
      </c>
      <c r="I30" s="24" t="s">
        <v>16</v>
      </c>
      <c r="J30" s="26"/>
      <c r="K30" s="27"/>
      <c r="L30" s="27"/>
      <c r="M30" s="34" t="s">
        <v>19</v>
      </c>
      <c r="N30" s="29"/>
      <c r="O30" s="30"/>
    </row>
    <row r="31" spans="2:15" ht="15.75" x14ac:dyDescent="0.25">
      <c r="B31" s="73" t="s">
        <v>59</v>
      </c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1"/>
      <c r="O31" s="20"/>
    </row>
    <row r="32" spans="2:15" x14ac:dyDescent="0.25">
      <c r="B32" s="56" t="s">
        <v>1</v>
      </c>
      <c r="C32" s="54" t="s">
        <v>2</v>
      </c>
      <c r="D32" s="54" t="s">
        <v>3</v>
      </c>
      <c r="E32" s="62" t="s">
        <v>4</v>
      </c>
      <c r="F32" s="63"/>
      <c r="G32" s="58" t="s">
        <v>5</v>
      </c>
      <c r="H32" s="60" t="s">
        <v>6</v>
      </c>
      <c r="I32" s="58" t="s">
        <v>7</v>
      </c>
      <c r="J32" s="58" t="s">
        <v>8</v>
      </c>
      <c r="K32" s="54" t="s">
        <v>9</v>
      </c>
      <c r="L32" s="54" t="s">
        <v>10</v>
      </c>
      <c r="M32" s="60" t="s">
        <v>11</v>
      </c>
      <c r="N32" s="60" t="s">
        <v>12</v>
      </c>
      <c r="O32" s="64" t="s">
        <v>13</v>
      </c>
    </row>
    <row r="33" spans="2:15" x14ac:dyDescent="0.25">
      <c r="B33" s="57"/>
      <c r="C33" s="55"/>
      <c r="D33" s="55"/>
      <c r="E33" s="2" t="s">
        <v>14</v>
      </c>
      <c r="F33" s="2" t="s">
        <v>15</v>
      </c>
      <c r="G33" s="59"/>
      <c r="H33" s="61"/>
      <c r="I33" s="59"/>
      <c r="J33" s="59"/>
      <c r="K33" s="55"/>
      <c r="L33" s="55"/>
      <c r="M33" s="61"/>
      <c r="N33" s="61"/>
      <c r="O33" s="65"/>
    </row>
    <row r="34" spans="2:15" x14ac:dyDescent="0.25">
      <c r="B34" s="21">
        <v>46035</v>
      </c>
      <c r="C34" s="3" t="s">
        <v>60</v>
      </c>
      <c r="D34" s="4" t="s">
        <v>38</v>
      </c>
      <c r="E34" s="5">
        <v>4</v>
      </c>
      <c r="F34" s="5">
        <v>30</v>
      </c>
      <c r="G34" s="6" t="s">
        <v>26</v>
      </c>
      <c r="H34" s="5" t="s">
        <v>16</v>
      </c>
      <c r="I34" s="5" t="s">
        <v>16</v>
      </c>
      <c r="J34" s="7" t="s">
        <v>17</v>
      </c>
      <c r="K34" s="14">
        <v>9.6875</v>
      </c>
      <c r="L34" s="14">
        <v>10.875</v>
      </c>
      <c r="M34" s="33" t="s">
        <v>18</v>
      </c>
      <c r="N34" s="15">
        <f>(L1035-K1035)-TIME(9,0,0)</f>
        <v>-0.375</v>
      </c>
      <c r="O34" s="22">
        <f>L34-K34</f>
        <v>1.1875</v>
      </c>
    </row>
    <row r="35" spans="2:15" ht="15.75" thickBot="1" x14ac:dyDescent="0.3">
      <c r="B35" s="21">
        <v>46035</v>
      </c>
      <c r="C35" s="23" t="s">
        <v>60</v>
      </c>
      <c r="D35" s="4" t="s">
        <v>38</v>
      </c>
      <c r="E35" s="24">
        <v>0</v>
      </c>
      <c r="F35" s="24">
        <v>0</v>
      </c>
      <c r="G35" s="25" t="s">
        <v>20</v>
      </c>
      <c r="H35" s="24" t="s">
        <v>16</v>
      </c>
      <c r="I35" s="24" t="s">
        <v>16</v>
      </c>
      <c r="J35" s="26"/>
      <c r="K35" s="27"/>
      <c r="L35" s="27"/>
      <c r="M35" s="34" t="s">
        <v>19</v>
      </c>
      <c r="N35" s="29"/>
      <c r="O35" s="30"/>
    </row>
    <row r="36" spans="2:15" ht="15.75" customHeight="1" x14ac:dyDescent="0.25">
      <c r="B36" s="78" t="s">
        <v>59</v>
      </c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1"/>
      <c r="O36" s="20"/>
    </row>
    <row r="37" spans="2:15" x14ac:dyDescent="0.25">
      <c r="B37" s="56" t="s">
        <v>1</v>
      </c>
      <c r="C37" s="54" t="s">
        <v>2</v>
      </c>
      <c r="D37" s="54" t="s">
        <v>3</v>
      </c>
      <c r="E37" s="62" t="s">
        <v>4</v>
      </c>
      <c r="F37" s="63"/>
      <c r="G37" s="58" t="s">
        <v>5</v>
      </c>
      <c r="H37" s="60" t="s">
        <v>6</v>
      </c>
      <c r="I37" s="58" t="s">
        <v>7</v>
      </c>
      <c r="J37" s="58" t="s">
        <v>8</v>
      </c>
      <c r="K37" s="54" t="s">
        <v>9</v>
      </c>
      <c r="L37" s="54" t="s">
        <v>10</v>
      </c>
      <c r="M37" s="60" t="s">
        <v>11</v>
      </c>
      <c r="N37" s="60" t="s">
        <v>12</v>
      </c>
      <c r="O37" s="64" t="s">
        <v>13</v>
      </c>
    </row>
    <row r="38" spans="2:15" x14ac:dyDescent="0.25">
      <c r="B38" s="57"/>
      <c r="C38" s="55"/>
      <c r="D38" s="55"/>
      <c r="E38" s="2" t="s">
        <v>14</v>
      </c>
      <c r="F38" s="2" t="s">
        <v>15</v>
      </c>
      <c r="G38" s="59"/>
      <c r="H38" s="61"/>
      <c r="I38" s="59"/>
      <c r="J38" s="59"/>
      <c r="K38" s="55"/>
      <c r="L38" s="55"/>
      <c r="M38" s="61"/>
      <c r="N38" s="61"/>
      <c r="O38" s="65"/>
    </row>
    <row r="39" spans="2:15" x14ac:dyDescent="0.25">
      <c r="B39" s="21">
        <v>46036</v>
      </c>
      <c r="C39" s="3" t="s">
        <v>60</v>
      </c>
      <c r="D39" s="4" t="s">
        <v>38</v>
      </c>
      <c r="E39" s="5">
        <v>3</v>
      </c>
      <c r="F39" s="5">
        <v>30</v>
      </c>
      <c r="G39" s="6" t="s">
        <v>26</v>
      </c>
      <c r="H39" s="5" t="s">
        <v>16</v>
      </c>
      <c r="I39" s="5" t="s">
        <v>16</v>
      </c>
      <c r="J39" s="7" t="s">
        <v>17</v>
      </c>
      <c r="K39" s="14">
        <v>9.7291666666666661</v>
      </c>
      <c r="L39" s="14">
        <v>10.875</v>
      </c>
      <c r="M39" s="33" t="s">
        <v>27</v>
      </c>
      <c r="N39" s="15">
        <f>(L1040-K1040)-TIME(9,0,0)</f>
        <v>-0.375</v>
      </c>
      <c r="O39" s="22">
        <f>L39-K39</f>
        <v>1.1458333333333339</v>
      </c>
    </row>
    <row r="40" spans="2:15" ht="15.75" thickBot="1" x14ac:dyDescent="0.3">
      <c r="B40" s="21">
        <v>46036</v>
      </c>
      <c r="C40" s="23" t="s">
        <v>60</v>
      </c>
      <c r="D40" s="4" t="s">
        <v>38</v>
      </c>
      <c r="E40" s="24">
        <v>0</v>
      </c>
      <c r="F40" s="24">
        <v>0</v>
      </c>
      <c r="G40" s="25" t="s">
        <v>20</v>
      </c>
      <c r="H40" s="24" t="s">
        <v>16</v>
      </c>
      <c r="I40" s="24" t="s">
        <v>16</v>
      </c>
      <c r="J40" s="26"/>
      <c r="K40" s="27"/>
      <c r="L40" s="27"/>
      <c r="M40" s="34" t="s">
        <v>19</v>
      </c>
      <c r="N40" s="29"/>
      <c r="O40" s="30"/>
    </row>
    <row r="41" spans="2:15" ht="15.75" customHeight="1" x14ac:dyDescent="0.25">
      <c r="B41" s="78" t="s">
        <v>59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1"/>
      <c r="O41" s="20"/>
    </row>
    <row r="42" spans="2:15" x14ac:dyDescent="0.25">
      <c r="B42" s="56" t="s">
        <v>1</v>
      </c>
      <c r="C42" s="54" t="s">
        <v>2</v>
      </c>
      <c r="D42" s="54" t="s">
        <v>3</v>
      </c>
      <c r="E42" s="62" t="s">
        <v>4</v>
      </c>
      <c r="F42" s="63"/>
      <c r="G42" s="58" t="s">
        <v>5</v>
      </c>
      <c r="H42" s="60" t="s">
        <v>6</v>
      </c>
      <c r="I42" s="58" t="s">
        <v>7</v>
      </c>
      <c r="J42" s="58" t="s">
        <v>8</v>
      </c>
      <c r="K42" s="54" t="s">
        <v>9</v>
      </c>
      <c r="L42" s="54" t="s">
        <v>10</v>
      </c>
      <c r="M42" s="60" t="s">
        <v>11</v>
      </c>
      <c r="N42" s="60" t="s">
        <v>12</v>
      </c>
      <c r="O42" s="64" t="s">
        <v>13</v>
      </c>
    </row>
    <row r="43" spans="2:15" x14ac:dyDescent="0.25">
      <c r="B43" s="57"/>
      <c r="C43" s="55"/>
      <c r="D43" s="55"/>
      <c r="E43" s="2" t="s">
        <v>14</v>
      </c>
      <c r="F43" s="2" t="s">
        <v>15</v>
      </c>
      <c r="G43" s="59"/>
      <c r="H43" s="61"/>
      <c r="I43" s="59"/>
      <c r="J43" s="59"/>
      <c r="K43" s="55"/>
      <c r="L43" s="55"/>
      <c r="M43" s="61"/>
      <c r="N43" s="61"/>
      <c r="O43" s="65"/>
    </row>
    <row r="44" spans="2:15" x14ac:dyDescent="0.25">
      <c r="B44" s="21">
        <v>46037</v>
      </c>
      <c r="C44" s="3" t="s">
        <v>60</v>
      </c>
      <c r="D44" s="4" t="s">
        <v>38</v>
      </c>
      <c r="E44" s="5">
        <v>5</v>
      </c>
      <c r="F44" s="5">
        <v>45</v>
      </c>
      <c r="G44" s="6" t="s">
        <v>26</v>
      </c>
      <c r="H44" s="5" t="s">
        <v>16</v>
      </c>
      <c r="I44" s="5" t="s">
        <v>16</v>
      </c>
      <c r="J44" s="7" t="s">
        <v>17</v>
      </c>
      <c r="K44" s="14">
        <v>9.6458333333333339</v>
      </c>
      <c r="L44" s="14">
        <v>10.885416666666666</v>
      </c>
      <c r="M44" s="33" t="s">
        <v>28</v>
      </c>
      <c r="N44" s="15">
        <f>(L1045-K1045)-TIME(9,0,0)</f>
        <v>-0.375</v>
      </c>
      <c r="O44" s="22">
        <f>L44-K44</f>
        <v>1.2395833333333321</v>
      </c>
    </row>
    <row r="45" spans="2:15" ht="15.75" thickBot="1" x14ac:dyDescent="0.3">
      <c r="B45" s="21">
        <v>46037</v>
      </c>
      <c r="C45" s="23" t="s">
        <v>60</v>
      </c>
      <c r="D45" s="4" t="s">
        <v>38</v>
      </c>
      <c r="E45" s="24">
        <v>0</v>
      </c>
      <c r="F45" s="24">
        <v>0</v>
      </c>
      <c r="G45" s="25" t="s">
        <v>20</v>
      </c>
      <c r="H45" s="24" t="s">
        <v>16</v>
      </c>
      <c r="I45" s="24" t="s">
        <v>16</v>
      </c>
      <c r="J45" s="26"/>
      <c r="K45" s="27"/>
      <c r="L45" s="27"/>
      <c r="M45" s="34" t="s">
        <v>19</v>
      </c>
      <c r="N45" s="29"/>
      <c r="O45" s="30"/>
    </row>
    <row r="46" spans="2:15" ht="15.75" customHeight="1" x14ac:dyDescent="0.25">
      <c r="B46" s="78" t="s">
        <v>59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1"/>
      <c r="O46" s="20"/>
    </row>
    <row r="47" spans="2:15" x14ac:dyDescent="0.25">
      <c r="B47" s="56" t="s">
        <v>1</v>
      </c>
      <c r="C47" s="54" t="s">
        <v>2</v>
      </c>
      <c r="D47" s="54" t="s">
        <v>3</v>
      </c>
      <c r="E47" s="62" t="s">
        <v>4</v>
      </c>
      <c r="F47" s="63"/>
      <c r="G47" s="58" t="s">
        <v>5</v>
      </c>
      <c r="H47" s="60" t="s">
        <v>6</v>
      </c>
      <c r="I47" s="58" t="s">
        <v>7</v>
      </c>
      <c r="J47" s="58" t="s">
        <v>8</v>
      </c>
      <c r="K47" s="54" t="s">
        <v>9</v>
      </c>
      <c r="L47" s="54" t="s">
        <v>10</v>
      </c>
      <c r="M47" s="60" t="s">
        <v>11</v>
      </c>
      <c r="N47" s="60" t="s">
        <v>12</v>
      </c>
      <c r="O47" s="64" t="s">
        <v>13</v>
      </c>
    </row>
    <row r="48" spans="2:15" x14ac:dyDescent="0.25">
      <c r="B48" s="57"/>
      <c r="C48" s="55"/>
      <c r="D48" s="55"/>
      <c r="E48" s="2" t="s">
        <v>14</v>
      </c>
      <c r="F48" s="2" t="s">
        <v>15</v>
      </c>
      <c r="G48" s="59"/>
      <c r="H48" s="61"/>
      <c r="I48" s="59"/>
      <c r="J48" s="59"/>
      <c r="K48" s="55"/>
      <c r="L48" s="55"/>
      <c r="M48" s="61"/>
      <c r="N48" s="61"/>
      <c r="O48" s="65"/>
    </row>
    <row r="49" spans="2:17" x14ac:dyDescent="0.25">
      <c r="B49" s="21">
        <v>46038</v>
      </c>
      <c r="C49" s="3" t="s">
        <v>60</v>
      </c>
      <c r="D49" s="4" t="s">
        <v>38</v>
      </c>
      <c r="E49" s="5">
        <v>5</v>
      </c>
      <c r="F49" s="5">
        <v>0</v>
      </c>
      <c r="G49" s="6" t="s">
        <v>26</v>
      </c>
      <c r="H49" s="5" t="s">
        <v>16</v>
      </c>
      <c r="I49" s="5" t="s">
        <v>16</v>
      </c>
      <c r="J49" s="7" t="s">
        <v>17</v>
      </c>
      <c r="K49" s="14">
        <v>9.6666666666666661</v>
      </c>
      <c r="L49" s="14">
        <v>10.875</v>
      </c>
      <c r="M49" s="33" t="s">
        <v>29</v>
      </c>
      <c r="N49" s="15">
        <f>(L1050-K1050)-TIME(9,0,0)</f>
        <v>-0.375</v>
      </c>
      <c r="O49" s="22">
        <f>L49-K49</f>
        <v>1.2083333333333339</v>
      </c>
    </row>
    <row r="50" spans="2:17" ht="15.75" thickBot="1" x14ac:dyDescent="0.3">
      <c r="B50" s="21">
        <v>46038</v>
      </c>
      <c r="C50" s="23" t="s">
        <v>60</v>
      </c>
      <c r="D50" s="4" t="s">
        <v>38</v>
      </c>
      <c r="E50" s="24">
        <v>0</v>
      </c>
      <c r="F50" s="24">
        <v>0</v>
      </c>
      <c r="G50" s="25" t="s">
        <v>20</v>
      </c>
      <c r="H50" s="24" t="s">
        <v>16</v>
      </c>
      <c r="I50" s="24" t="s">
        <v>16</v>
      </c>
      <c r="J50" s="26"/>
      <c r="K50" s="27"/>
      <c r="L50" s="27"/>
      <c r="M50" s="34" t="s">
        <v>19</v>
      </c>
      <c r="N50" s="29"/>
      <c r="O50" s="30"/>
    </row>
    <row r="51" spans="2:17" ht="15.75" customHeight="1" x14ac:dyDescent="0.25">
      <c r="B51" s="78" t="s">
        <v>59</v>
      </c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1"/>
      <c r="O51" s="20"/>
    </row>
    <row r="52" spans="2:17" x14ac:dyDescent="0.25">
      <c r="B52" s="56" t="s">
        <v>1</v>
      </c>
      <c r="C52" s="54" t="s">
        <v>2</v>
      </c>
      <c r="D52" s="54" t="s">
        <v>3</v>
      </c>
      <c r="E52" s="62" t="s">
        <v>4</v>
      </c>
      <c r="F52" s="63"/>
      <c r="G52" s="58" t="s">
        <v>5</v>
      </c>
      <c r="H52" s="60" t="s">
        <v>6</v>
      </c>
      <c r="I52" s="58" t="s">
        <v>7</v>
      </c>
      <c r="J52" s="58" t="s">
        <v>8</v>
      </c>
      <c r="K52" s="54" t="s">
        <v>9</v>
      </c>
      <c r="L52" s="54" t="s">
        <v>10</v>
      </c>
      <c r="M52" s="60" t="s">
        <v>11</v>
      </c>
      <c r="N52" s="60" t="s">
        <v>12</v>
      </c>
      <c r="O52" s="64" t="s">
        <v>13</v>
      </c>
      <c r="P52" s="2" t="s">
        <v>14</v>
      </c>
      <c r="Q52" s="2" t="s">
        <v>15</v>
      </c>
    </row>
    <row r="53" spans="2:17" x14ac:dyDescent="0.25">
      <c r="B53" s="57"/>
      <c r="C53" s="55"/>
      <c r="D53" s="55"/>
      <c r="E53" s="2" t="s">
        <v>14</v>
      </c>
      <c r="F53" s="2" t="s">
        <v>15</v>
      </c>
      <c r="G53" s="59"/>
      <c r="H53" s="61"/>
      <c r="I53" s="59"/>
      <c r="J53" s="59"/>
      <c r="K53" s="55"/>
      <c r="L53" s="55"/>
      <c r="M53" s="61"/>
      <c r="N53" s="61"/>
      <c r="O53" s="65"/>
      <c r="P53" s="45">
        <f>SUM(E14:E15,E19:E20,E24:E25,E29:E30,E34:E35,E39:E40,E44:E45,E49:E50,E54:E55)</f>
        <v>42</v>
      </c>
      <c r="Q53" s="45">
        <f>SUM(F54:F55,F49:F50,F44:F45,F39:F40,F34:F35,F29:F30,F24:F25,F19:F20,F14:F15)</f>
        <v>150</v>
      </c>
    </row>
    <row r="54" spans="2:17" x14ac:dyDescent="0.25">
      <c r="B54" s="21">
        <v>46039</v>
      </c>
      <c r="C54" s="3" t="s">
        <v>60</v>
      </c>
      <c r="D54" s="4" t="s">
        <v>38</v>
      </c>
      <c r="E54" s="5">
        <v>4</v>
      </c>
      <c r="F54" s="5">
        <v>45</v>
      </c>
      <c r="G54" s="6" t="s">
        <v>26</v>
      </c>
      <c r="H54" s="5" t="s">
        <v>16</v>
      </c>
      <c r="I54" s="5" t="s">
        <v>16</v>
      </c>
      <c r="J54" s="7" t="s">
        <v>17</v>
      </c>
      <c r="K54" s="14">
        <v>9.3229166666666661</v>
      </c>
      <c r="L54" s="14">
        <v>10.520833333333334</v>
      </c>
      <c r="M54" s="33" t="s">
        <v>29</v>
      </c>
      <c r="N54" s="15">
        <f>(L1055-K1055)-TIME(9,0,0)</f>
        <v>-0.375</v>
      </c>
      <c r="O54" s="22">
        <f>L54-K54</f>
        <v>1.1979166666666679</v>
      </c>
      <c r="P54" s="46"/>
      <c r="Q54" s="46">
        <f>Q53/60</f>
        <v>2.5</v>
      </c>
    </row>
    <row r="55" spans="2:17" ht="15.75" thickBot="1" x14ac:dyDescent="0.3">
      <c r="B55" s="21">
        <v>46039</v>
      </c>
      <c r="C55" s="23" t="s">
        <v>60</v>
      </c>
      <c r="D55" s="4" t="s">
        <v>38</v>
      </c>
      <c r="E55" s="24">
        <v>0</v>
      </c>
      <c r="F55" s="24">
        <v>0</v>
      </c>
      <c r="G55" s="25" t="s">
        <v>20</v>
      </c>
      <c r="H55" s="24" t="s">
        <v>16</v>
      </c>
      <c r="I55" s="24" t="s">
        <v>16</v>
      </c>
      <c r="J55" s="26"/>
      <c r="K55" s="27"/>
      <c r="L55" s="27"/>
      <c r="M55" s="34" t="s">
        <v>19</v>
      </c>
      <c r="N55" s="29"/>
      <c r="O55" s="30"/>
      <c r="P55" s="13" t="s">
        <v>21</v>
      </c>
      <c r="Q55" s="13">
        <f>P53+Q54</f>
        <v>44.5</v>
      </c>
    </row>
    <row r="56" spans="2:17" x14ac:dyDescent="0.25">
      <c r="B56" s="9" t="s">
        <v>19</v>
      </c>
      <c r="C56" s="8"/>
      <c r="D56" s="9"/>
      <c r="E56" s="10">
        <f>SUM(E54:E55)</f>
        <v>4</v>
      </c>
      <c r="F56" s="10">
        <f>SUM(F54:F55)</f>
        <v>45</v>
      </c>
      <c r="G56" s="11"/>
      <c r="H56" s="11"/>
      <c r="I56" s="11"/>
      <c r="J56" s="11"/>
      <c r="K56" s="12"/>
      <c r="L56" s="12"/>
      <c r="M56" s="9"/>
      <c r="N56" s="9"/>
      <c r="O56" s="9"/>
    </row>
    <row r="57" spans="2:17" x14ac:dyDescent="0.25">
      <c r="B57" s="8"/>
      <c r="C57" s="8"/>
      <c r="D57" s="9"/>
      <c r="E57" s="11"/>
      <c r="F57" s="11">
        <f>F56/60</f>
        <v>0.75</v>
      </c>
      <c r="G57" s="11"/>
      <c r="H57" s="11"/>
      <c r="I57" s="11"/>
      <c r="J57" s="11"/>
      <c r="K57" s="12"/>
      <c r="L57" s="12"/>
      <c r="M57" s="9"/>
      <c r="N57" s="9"/>
      <c r="O57" s="9"/>
    </row>
    <row r="58" spans="2:17" x14ac:dyDescent="0.25">
      <c r="B58" s="8"/>
      <c r="C58" s="8"/>
      <c r="D58" s="9"/>
      <c r="E58" s="13" t="s">
        <v>21</v>
      </c>
      <c r="F58" s="13">
        <f>E56+F57</f>
        <v>4.75</v>
      </c>
      <c r="G58" s="11"/>
      <c r="H58" s="11"/>
      <c r="I58" s="11"/>
      <c r="J58" s="11"/>
      <c r="K58" s="12"/>
      <c r="L58" s="12"/>
      <c r="M58" s="9"/>
      <c r="N58" s="9"/>
      <c r="O58" s="41"/>
    </row>
  </sheetData>
  <mergeCells count="10">
    <mergeCell ref="B36:M36"/>
    <mergeCell ref="B41:M41"/>
    <mergeCell ref="B46:M46"/>
    <mergeCell ref="B51:M51"/>
    <mergeCell ref="B21:M21"/>
    <mergeCell ref="B11:M11"/>
    <mergeCell ref="B10:O10"/>
    <mergeCell ref="B16:M16"/>
    <mergeCell ref="B26:M26"/>
    <mergeCell ref="B31:M31"/>
  </mergeCells>
  <pageMargins left="0.7" right="0.7" top="0.75" bottom="0.75" header="0.3" footer="0.3"/>
  <pageSetup paperSize="9" scale="81" fitToHeight="0" orientation="landscape" r:id="rId1"/>
  <rowBreaks count="1" manualBreakCount="1">
    <brk id="35" min="1" max="14" man="1"/>
  </rowBreaks>
  <colBreaks count="1" manualBreakCount="1">
    <brk id="15" min="2" max="1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Parth</vt:lpstr>
      <vt:lpstr>Paras</vt:lpstr>
      <vt:lpstr>Salil</vt:lpstr>
      <vt:lpstr>Smit</vt:lpstr>
      <vt:lpstr>Harsh</vt:lpstr>
      <vt:lpstr>Nayan</vt:lpstr>
      <vt:lpstr>Nisha</vt:lpstr>
      <vt:lpstr>Harsh!Print_Area</vt:lpstr>
      <vt:lpstr>Nayan!Print_Area</vt:lpstr>
      <vt:lpstr>Nisha!Print_Area</vt:lpstr>
      <vt:lpstr>Paras!Print_Area</vt:lpstr>
      <vt:lpstr>Parth!Print_Area</vt:lpstr>
      <vt:lpstr>Salil!Print_Area</vt:lpstr>
      <vt:lpstr>Smit!Print_Area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Enquiries manager</cp:lastModifiedBy>
  <cp:lastPrinted>2026-01-17T10:06:49Z</cp:lastPrinted>
  <dcterms:created xsi:type="dcterms:W3CDTF">2025-08-21T12:44:30Z</dcterms:created>
  <dcterms:modified xsi:type="dcterms:W3CDTF">2026-01-17T12:36:21Z</dcterms:modified>
</cp:coreProperties>
</file>