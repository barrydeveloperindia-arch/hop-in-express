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\Documents\Antigravity\hop-in-express---1\output\"/>
    </mc:Choice>
  </mc:AlternateContent>
  <xr:revisionPtr revIDLastSave="0" documentId="13_ncr:1_{D9098E78-E0E3-4BB3-A566-7AE755125A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th" sheetId="2" r:id="rId1"/>
    <sheet name="Sheet2" sheetId="10" r:id="rId2"/>
    <sheet name="Paras" sheetId="4" r:id="rId3"/>
    <sheet name="Salil" sheetId="8" r:id="rId4"/>
    <sheet name="Smit" sheetId="5" r:id="rId5"/>
    <sheet name="Harsh" sheetId="6" r:id="rId6"/>
    <sheet name="Nayan" sheetId="7" r:id="rId7"/>
    <sheet name="Sheet1" sheetId="9" r:id="rId8"/>
  </sheets>
  <definedNames>
    <definedName name="_xlnm.Print_Area" localSheetId="5">Harsh!$B$3:$O$119</definedName>
    <definedName name="_xlnm.Print_Area" localSheetId="6">Nayan!$B$3:$O$45</definedName>
    <definedName name="_xlnm.Print_Area" localSheetId="2">Paras!$B$3:$O$173</definedName>
    <definedName name="_xlnm.Print_Area" localSheetId="0">Parth!$B$3:$O$96</definedName>
    <definedName name="_xlnm.Print_Area" localSheetId="3">Salil!$B$3:$O$98</definedName>
    <definedName name="_xlnm.Print_Area" localSheetId="4">Smit!$B$3:$O$82</definedName>
  </definedNames>
  <calcPr calcId="181029"/>
</workbook>
</file>

<file path=xl/calcChain.xml><?xml version="1.0" encoding="utf-8"?>
<calcChain xmlns="http://schemas.openxmlformats.org/spreadsheetml/2006/main">
  <c r="E6" i="7" l="1"/>
  <c r="E7" i="7"/>
  <c r="Q43" i="7"/>
  <c r="Q44" i="7" s="1"/>
  <c r="P43" i="7"/>
  <c r="N44" i="7"/>
  <c r="O44" i="7"/>
  <c r="E46" i="7"/>
  <c r="F46" i="7"/>
  <c r="F47" i="7" s="1"/>
  <c r="F48" i="7" s="1"/>
  <c r="N39" i="7"/>
  <c r="O39" i="7"/>
  <c r="N34" i="7"/>
  <c r="O34" i="7"/>
  <c r="N29" i="7"/>
  <c r="O29" i="7"/>
  <c r="Q89" i="8"/>
  <c r="Q90" i="8" s="1"/>
  <c r="P89" i="8"/>
  <c r="N90" i="8"/>
  <c r="O90" i="8"/>
  <c r="E92" i="8"/>
  <c r="F92" i="8"/>
  <c r="F93" i="8"/>
  <c r="F94" i="8"/>
  <c r="N85" i="8"/>
  <c r="O85" i="8"/>
  <c r="N80" i="8"/>
  <c r="O80" i="8"/>
  <c r="O75" i="8"/>
  <c r="N75" i="8"/>
  <c r="N70" i="8"/>
  <c r="O70" i="8"/>
  <c r="N65" i="8"/>
  <c r="O65" i="8"/>
  <c r="N60" i="8"/>
  <c r="O60" i="8"/>
  <c r="N55" i="8"/>
  <c r="O55" i="8"/>
  <c r="E8" i="4"/>
  <c r="P148" i="4"/>
  <c r="Q148" i="4"/>
  <c r="Q149" i="4" s="1"/>
  <c r="N149" i="4"/>
  <c r="O149" i="4"/>
  <c r="E151" i="4"/>
  <c r="F151" i="4"/>
  <c r="F152" i="4" s="1"/>
  <c r="F153" i="4" s="1"/>
  <c r="N144" i="4"/>
  <c r="O144" i="4"/>
  <c r="N139" i="4"/>
  <c r="O139" i="4"/>
  <c r="N134" i="4"/>
  <c r="O134" i="4"/>
  <c r="N129" i="4"/>
  <c r="O129" i="4"/>
  <c r="O92" i="6"/>
  <c r="N92" i="6"/>
  <c r="O87" i="6"/>
  <c r="N87" i="6"/>
  <c r="O82" i="6"/>
  <c r="N82" i="6"/>
  <c r="E109" i="6"/>
  <c r="F109" i="6"/>
  <c r="F110" i="6" s="1"/>
  <c r="F111" i="6" s="1"/>
  <c r="O76" i="6"/>
  <c r="N76" i="6"/>
  <c r="O71" i="6"/>
  <c r="N71" i="6"/>
  <c r="O66" i="6"/>
  <c r="N66" i="6"/>
  <c r="O61" i="6"/>
  <c r="N61" i="6"/>
  <c r="N97" i="6"/>
  <c r="O97" i="6"/>
  <c r="N102" i="6"/>
  <c r="O102" i="6"/>
  <c r="N107" i="6"/>
  <c r="O107" i="6"/>
  <c r="E9" i="2"/>
  <c r="E8" i="2"/>
  <c r="E7" i="2"/>
  <c r="Q31" i="2"/>
  <c r="Q32" i="2" s="1"/>
  <c r="P31" i="2"/>
  <c r="Q83" i="2"/>
  <c r="Q84" i="2" s="1"/>
  <c r="P83" i="2"/>
  <c r="N84" i="2"/>
  <c r="O84" i="2"/>
  <c r="E86" i="2"/>
  <c r="F86" i="2"/>
  <c r="F87" i="2" s="1"/>
  <c r="N79" i="2"/>
  <c r="O79" i="2"/>
  <c r="N74" i="2"/>
  <c r="O74" i="2"/>
  <c r="N69" i="2"/>
  <c r="O69" i="2"/>
  <c r="N124" i="4"/>
  <c r="O124" i="4"/>
  <c r="N64" i="2"/>
  <c r="O64" i="2"/>
  <c r="P71" i="6"/>
  <c r="Q71" i="6"/>
  <c r="Q72" i="6" s="1"/>
  <c r="Q73" i="6" s="1"/>
  <c r="Q66" i="5"/>
  <c r="Q67" i="5" s="1"/>
  <c r="Q68" i="5" s="1"/>
  <c r="P66" i="5"/>
  <c r="F69" i="5"/>
  <c r="E69" i="5"/>
  <c r="N62" i="5"/>
  <c r="O62" i="5"/>
  <c r="N67" i="5"/>
  <c r="O67" i="5"/>
  <c r="F70" i="5"/>
  <c r="N49" i="8"/>
  <c r="O49" i="8"/>
  <c r="N44" i="8"/>
  <c r="O44" i="8"/>
  <c r="N39" i="8"/>
  <c r="O39" i="8"/>
  <c r="N34" i="8"/>
  <c r="O34" i="8"/>
  <c r="N29" i="8"/>
  <c r="O29" i="8"/>
  <c r="O24" i="8"/>
  <c r="N24" i="8"/>
  <c r="O19" i="8"/>
  <c r="N19" i="8"/>
  <c r="O14" i="8"/>
  <c r="N14" i="8"/>
  <c r="N118" i="4"/>
  <c r="O118" i="4"/>
  <c r="O103" i="4"/>
  <c r="N103" i="4"/>
  <c r="P91" i="4"/>
  <c r="N98" i="4"/>
  <c r="O98" i="4"/>
  <c r="N108" i="4"/>
  <c r="O108" i="4"/>
  <c r="N113" i="4"/>
  <c r="O113" i="4"/>
  <c r="N58" i="2"/>
  <c r="O58" i="2"/>
  <c r="N53" i="2"/>
  <c r="O53" i="2"/>
  <c r="N48" i="2"/>
  <c r="O48" i="2"/>
  <c r="N43" i="2"/>
  <c r="O43" i="2"/>
  <c r="N38" i="2"/>
  <c r="O38" i="2"/>
  <c r="N24" i="7"/>
  <c r="O24" i="7"/>
  <c r="N19" i="7"/>
  <c r="O19" i="7"/>
  <c r="N14" i="7"/>
  <c r="O14" i="7"/>
  <c r="Q55" i="6"/>
  <c r="Q56" i="6" s="1"/>
  <c r="P55" i="6"/>
  <c r="N56" i="6"/>
  <c r="O56" i="6"/>
  <c r="Q55" i="5"/>
  <c r="Q56" i="5" s="1"/>
  <c r="P55" i="5"/>
  <c r="N56" i="5"/>
  <c r="O56" i="5"/>
  <c r="Q91" i="4"/>
  <c r="Q92" i="4" s="1"/>
  <c r="N92" i="4"/>
  <c r="O92" i="4"/>
  <c r="N51" i="5"/>
  <c r="O51" i="5"/>
  <c r="N46" i="5"/>
  <c r="O46" i="5"/>
  <c r="N32" i="2"/>
  <c r="O32" i="2"/>
  <c r="N51" i="6"/>
  <c r="O51" i="6"/>
  <c r="N27" i="2"/>
  <c r="O27" i="2"/>
  <c r="N87" i="4"/>
  <c r="O87" i="4"/>
  <c r="N46" i="6"/>
  <c r="O46" i="6"/>
  <c r="Q39" i="6"/>
  <c r="Q40" i="6" s="1"/>
  <c r="P39" i="6"/>
  <c r="N40" i="6"/>
  <c r="O40" i="6"/>
  <c r="N35" i="6"/>
  <c r="O35" i="6"/>
  <c r="N30" i="6"/>
  <c r="O30" i="6"/>
  <c r="N41" i="5"/>
  <c r="O41" i="5"/>
  <c r="N36" i="5"/>
  <c r="O36" i="5"/>
  <c r="Q28" i="5"/>
  <c r="P28" i="5"/>
  <c r="Q29" i="5"/>
  <c r="N30" i="5"/>
  <c r="O30" i="5"/>
  <c r="N25" i="5"/>
  <c r="O25" i="5"/>
  <c r="N16" i="4"/>
  <c r="O16" i="4"/>
  <c r="N21" i="4"/>
  <c r="O21" i="4"/>
  <c r="N26" i="4"/>
  <c r="O26" i="4"/>
  <c r="N31" i="4"/>
  <c r="O31" i="4"/>
  <c r="N36" i="4"/>
  <c r="O36" i="4"/>
  <c r="N41" i="4"/>
  <c r="O41" i="4"/>
  <c r="N46" i="4"/>
  <c r="O46" i="4"/>
  <c r="N51" i="4"/>
  <c r="O51" i="4"/>
  <c r="N56" i="4"/>
  <c r="O56" i="4"/>
  <c r="N61" i="4"/>
  <c r="O61" i="4"/>
  <c r="N66" i="4"/>
  <c r="O66" i="4"/>
  <c r="P70" i="4"/>
  <c r="Q70" i="4"/>
  <c r="Q71" i="4" s="1"/>
  <c r="N71" i="4"/>
  <c r="O71" i="4"/>
  <c r="N82" i="4"/>
  <c r="O82" i="4"/>
  <c r="N22" i="2"/>
  <c r="O22" i="2"/>
  <c r="Q14" i="2"/>
  <c r="Q15" i="2" s="1"/>
  <c r="P14" i="2"/>
  <c r="N77" i="4"/>
  <c r="O77" i="4"/>
  <c r="O25" i="6"/>
  <c r="N25" i="6"/>
  <c r="O20" i="6"/>
  <c r="N20" i="6"/>
  <c r="O15" i="6"/>
  <c r="N15" i="6"/>
  <c r="N16" i="2"/>
  <c r="O16" i="2"/>
  <c r="N20" i="5"/>
  <c r="O20" i="5"/>
  <c r="O15" i="5"/>
  <c r="N15" i="5"/>
  <c r="Q45" i="7" l="1"/>
  <c r="Q91" i="8"/>
  <c r="E6" i="8" s="1"/>
  <c r="E7" i="8" s="1"/>
  <c r="Q72" i="4"/>
  <c r="E6" i="4" s="1"/>
  <c r="Q150" i="4"/>
  <c r="Q33" i="2"/>
  <c r="F88" i="2"/>
  <c r="Q85" i="2"/>
  <c r="F71" i="5"/>
  <c r="Q57" i="6"/>
  <c r="E7" i="6" s="1"/>
  <c r="Q57" i="5"/>
  <c r="E7" i="5" s="1"/>
  <c r="Q93" i="4"/>
  <c r="E7" i="4" s="1"/>
  <c r="Q41" i="6"/>
  <c r="E6" i="6" s="1"/>
  <c r="Q30" i="5"/>
  <c r="E6" i="5" s="1"/>
  <c r="Q16" i="2"/>
  <c r="E6" i="2" s="1"/>
  <c r="E8" i="5" l="1"/>
  <c r="E8" i="6"/>
  <c r="E9" i="4"/>
</calcChain>
</file>

<file path=xl/sharedStrings.xml><?xml version="1.0" encoding="utf-8"?>
<sst xmlns="http://schemas.openxmlformats.org/spreadsheetml/2006/main" count="2884" uniqueCount="89">
  <si>
    <t>Parth</t>
  </si>
  <si>
    <t>DATE</t>
  </si>
  <si>
    <t>NAME</t>
  </si>
  <si>
    <t>PROJECT NO.</t>
  </si>
  <si>
    <t xml:space="preserve">TIME SPENT </t>
  </si>
  <si>
    <t>WORK DONE TODAY</t>
  </si>
  <si>
    <t>INPUTS REQUIRED FROM CLIENTS</t>
  </si>
  <si>
    <t>FOLLOW UP/REMARKS</t>
  </si>
  <si>
    <t>STATUS</t>
  </si>
  <si>
    <t>TIME IN</t>
  </si>
  <si>
    <t>TIME OUT</t>
  </si>
  <si>
    <t>DAY</t>
  </si>
  <si>
    <t>OT</t>
  </si>
  <si>
    <t>WORKING HOUR</t>
  </si>
  <si>
    <t>HOURS</t>
  </si>
  <si>
    <t>MINUTES</t>
  </si>
  <si>
    <t>NIL</t>
  </si>
  <si>
    <t>Working</t>
  </si>
  <si>
    <t>Tuesday</t>
  </si>
  <si>
    <t xml:space="preserve"> </t>
  </si>
  <si>
    <t>BREAK/TEA</t>
  </si>
  <si>
    <t>Total hour</t>
  </si>
  <si>
    <t>Saturday</t>
  </si>
  <si>
    <t>Sunday</t>
  </si>
  <si>
    <t>Monday</t>
  </si>
  <si>
    <t>Parth Time Sheet</t>
  </si>
  <si>
    <t>NO DETAILS</t>
  </si>
  <si>
    <t>Wednesday</t>
  </si>
  <si>
    <t>Thursday</t>
  </si>
  <si>
    <t>Friday</t>
  </si>
  <si>
    <t>Total Working Hours:-</t>
  </si>
  <si>
    <t>Paras Time Sheet</t>
  </si>
  <si>
    <t>Paras</t>
  </si>
  <si>
    <t>Smit Time Sheet</t>
  </si>
  <si>
    <t>Smit</t>
  </si>
  <si>
    <t>Harsh Time Sheet</t>
  </si>
  <si>
    <t>Harsh</t>
  </si>
  <si>
    <t>OCT_2025</t>
  </si>
  <si>
    <t>HOP-IN-EXPRESS</t>
  </si>
  <si>
    <t>Nov_2025</t>
  </si>
  <si>
    <t>Oct Working Hours:-</t>
  </si>
  <si>
    <t>Nov. Working Hours:-</t>
  </si>
  <si>
    <t>Project:</t>
  </si>
  <si>
    <t>Hop-In-Express</t>
  </si>
  <si>
    <t>WILMER RETAIL</t>
  </si>
  <si>
    <t>Oct_2025</t>
  </si>
  <si>
    <t>Dec. Working Hours:-</t>
  </si>
  <si>
    <t>Dec_2025</t>
  </si>
  <si>
    <t>Salil Anand Time Sheet</t>
  </si>
  <si>
    <t>Salil</t>
  </si>
  <si>
    <t>15 to 21 missing</t>
  </si>
  <si>
    <t>15-21 missing</t>
  </si>
  <si>
    <t>HARSH</t>
  </si>
  <si>
    <t>Nayan</t>
  </si>
  <si>
    <t>Nayan Time Sheet</t>
  </si>
  <si>
    <t>DEC. Working Hours:-</t>
  </si>
  <si>
    <t>15 TO 21 MISSING</t>
  </si>
  <si>
    <t>Salil Time Sheet</t>
  </si>
  <si>
    <t>Name</t>
  </si>
  <si>
    <t>Role</t>
  </si>
  <si>
    <t>Pin</t>
  </si>
  <si>
    <t>ContractType</t>
  </si>
  <si>
    <t>NINumber</t>
  </si>
  <si>
    <t>TaxCode</t>
  </si>
  <si>
    <t>HourlyRate</t>
  </si>
  <si>
    <t>EmergencyContact</t>
  </si>
  <si>
    <t>Phone</t>
  </si>
  <si>
    <t>Manager</t>
  </si>
  <si>
    <t>Full-time</t>
  </si>
  <si>
    <t>AB123456C</t>
  </si>
  <si>
    <t>1257L</t>
  </si>
  <si>
    <t>Jane Doe: 07700900000</t>
  </si>
  <si>
    <t>Cashier</t>
  </si>
  <si>
    <t>Part-time</t>
  </si>
  <si>
    <t>CD123456D</t>
  </si>
  <si>
    <t>Bob Smith: 07700900001</t>
  </si>
  <si>
    <t>Stock Staff</t>
  </si>
  <si>
    <t>Zero-hour</t>
  </si>
  <si>
    <t>EF123456E</t>
  </si>
  <si>
    <t>Charlie: 07700900002</t>
  </si>
  <si>
    <t>Gaurav Panchal</t>
  </si>
  <si>
    <t>Salil Anand</t>
  </si>
  <si>
    <t>Bharat Anand</t>
  </si>
  <si>
    <t>Nisha</t>
  </si>
  <si>
    <t>Narayan</t>
  </si>
  <si>
    <t>AB123456F</t>
  </si>
  <si>
    <t>CD123456G</t>
  </si>
  <si>
    <t>EF123456H</t>
  </si>
  <si>
    <t>AB123456I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</si>
</sst>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/mmm/yyyy;@"/>
    <numFmt numFmtId="165" formatCode="[$-409]d/mmm/yy;@"/>
    <numFmt numFmtId="166" formatCode="[$-409]mmmm\ d\,\ yyyy;@"/>
    <numFmt numFmtId="167" formatCode="yyyy/mm/dd;@"/>
    <numFmt numFmtId="168" formatCode="[$-10409]hh:mm:ss\ AM/PM;@"/>
    <numFmt numFmtId="169" formatCode="[$-F400]h:mm:ss\ AM/PM"/>
    <numFmt numFmtId="170" formatCode="[$-409]h:mm\ AM/PM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mbria"/>
      <family val="1"/>
      <scheme val="major"/>
    </font>
    <font>
      <sz val="48"/>
      <color theme="1"/>
      <name val="Calibri"/>
      <family val="2"/>
      <scheme val="minor"/>
    </font>
    <font>
      <sz val="16"/>
      <name val="Cambria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47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1">
    <xf numFmtId="0" fontId="0" fillId="0" borderId="0" xfId="0"/>
    <xf numFmtId="164" fontId="4" fillId="2" borderId="4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167" fontId="5" fillId="0" borderId="1" xfId="0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70" fontId="5" fillId="0" borderId="0" xfId="0" applyNumberFormat="1" applyFont="1"/>
    <xf numFmtId="0" fontId="6" fillId="2" borderId="1" xfId="0" applyFont="1" applyFill="1" applyBorder="1"/>
    <xf numFmtId="168" fontId="7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164" fontId="4" fillId="2" borderId="15" xfId="0" applyNumberFormat="1" applyFont="1" applyFill="1" applyBorder="1" applyAlignment="1">
      <alignment vertical="center" wrapText="1"/>
    </xf>
    <xf numFmtId="166" fontId="5" fillId="0" borderId="20" xfId="0" applyNumberFormat="1" applyFont="1" applyBorder="1" applyAlignment="1">
      <alignment horizontal="center" vertical="center" wrapText="1"/>
    </xf>
    <xf numFmtId="169" fontId="2" fillId="0" borderId="21" xfId="0" applyNumberFormat="1" applyFont="1" applyBorder="1" applyAlignment="1">
      <alignment horizontal="center" vertical="center" wrapText="1"/>
    </xf>
    <xf numFmtId="167" fontId="5" fillId="0" borderId="2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168" fontId="7" fillId="0" borderId="22" xfId="0" applyNumberFormat="1" applyFont="1" applyBorder="1" applyAlignment="1">
      <alignment horizontal="center" vertical="center" wrapText="1"/>
    </xf>
    <xf numFmtId="167" fontId="2" fillId="0" borderId="22" xfId="0" applyNumberFormat="1" applyFont="1" applyBorder="1" applyAlignment="1">
      <alignment horizontal="center" vertical="center" wrapText="1"/>
    </xf>
    <xf numFmtId="169" fontId="2" fillId="0" borderId="22" xfId="0" applyNumberFormat="1" applyFont="1" applyBorder="1" applyAlignment="1">
      <alignment horizontal="center" vertical="center" wrapText="1"/>
    </xf>
    <xf numFmtId="169" fontId="2" fillId="0" borderId="23" xfId="0" applyNumberFormat="1" applyFont="1" applyBorder="1" applyAlignment="1">
      <alignment horizontal="center" vertical="center" wrapText="1"/>
    </xf>
    <xf numFmtId="0" fontId="8" fillId="2" borderId="9" xfId="0" applyFont="1" applyFill="1" applyBorder="1"/>
    <xf numFmtId="0" fontId="8" fillId="2" borderId="11" xfId="0" applyFont="1" applyFill="1" applyBorder="1"/>
    <xf numFmtId="167" fontId="0" fillId="0" borderId="1" xfId="0" applyNumberFormat="1" applyBorder="1" applyAlignment="1">
      <alignment horizontal="center" vertical="center" wrapText="1"/>
    </xf>
    <xf numFmtId="167" fontId="0" fillId="0" borderId="22" xfId="0" applyNumberFormat="1" applyBorder="1" applyAlignment="1">
      <alignment horizontal="center" vertical="center" wrapText="1"/>
    </xf>
    <xf numFmtId="0" fontId="10" fillId="2" borderId="24" xfId="0" applyFont="1" applyFill="1" applyBorder="1"/>
    <xf numFmtId="0" fontId="10" fillId="2" borderId="8" xfId="0" applyFont="1" applyFill="1" applyBorder="1"/>
    <xf numFmtId="0" fontId="10" fillId="2" borderId="12" xfId="0" applyFont="1" applyFill="1" applyBorder="1"/>
    <xf numFmtId="0" fontId="10" fillId="2" borderId="0" xfId="0" applyFont="1" applyFill="1"/>
    <xf numFmtId="0" fontId="10" fillId="2" borderId="25" xfId="0" applyFont="1" applyFill="1" applyBorder="1"/>
    <xf numFmtId="0" fontId="10" fillId="2" borderId="26" xfId="0" applyFont="1" applyFill="1" applyBorder="1"/>
    <xf numFmtId="169" fontId="5" fillId="0" borderId="0" xfId="0" applyNumberFormat="1" applyFont="1"/>
    <xf numFmtId="0" fontId="8" fillId="5" borderId="11" xfId="0" applyFont="1" applyFill="1" applyBorder="1"/>
    <xf numFmtId="0" fontId="8" fillId="7" borderId="11" xfId="0" applyFont="1" applyFill="1" applyBorder="1"/>
    <xf numFmtId="0" fontId="8" fillId="6" borderId="27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9" fontId="2" fillId="8" borderId="2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0" fillId="2" borderId="24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0" fontId="10" fillId="2" borderId="25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166" fontId="5" fillId="0" borderId="20" xfId="0" applyNumberFormat="1" applyFont="1" applyBorder="1" applyAlignment="1">
      <alignment horizontal="left" vertical="center" wrapText="1"/>
    </xf>
    <xf numFmtId="165" fontId="5" fillId="0" borderId="0" xfId="0" applyNumberFormat="1" applyFont="1" applyAlignment="1">
      <alignment horizontal="left"/>
    </xf>
    <xf numFmtId="165" fontId="1" fillId="3" borderId="6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164" fontId="1" fillId="3" borderId="16" xfId="0" applyNumberFormat="1" applyFont="1" applyFill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164" fontId="1" fillId="3" borderId="16" xfId="0" applyNumberFormat="1" applyFont="1" applyFill="1" applyBorder="1" applyAlignment="1">
      <alignment horizontal="left" vertical="center"/>
    </xf>
    <xf numFmtId="164" fontId="1" fillId="3" borderId="18" xfId="0" applyNumberFormat="1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1" fontId="6" fillId="2" borderId="1" xfId="0" applyNumberFormat="1" applyFont="1" applyFill="1" applyBorder="1"/>
    <xf numFmtId="1" fontId="8" fillId="7" borderId="11" xfId="0" applyNumberFormat="1" applyFont="1" applyFill="1" applyBorder="1"/>
    <xf numFmtId="1" fontId="8" fillId="6" borderId="27" xfId="0" applyNumberFormat="1" applyFont="1" applyFill="1" applyBorder="1"/>
    <xf numFmtId="164" fontId="4" fillId="11" borderId="15" xfId="0" applyNumberFormat="1" applyFont="1" applyFill="1" applyBorder="1" applyAlignment="1">
      <alignment vertical="center" wrapText="1"/>
    </xf>
    <xf numFmtId="2" fontId="8" fillId="6" borderId="27" xfId="0" applyNumberFormat="1" applyFont="1" applyFill="1" applyBorder="1"/>
    <xf numFmtId="2" fontId="8" fillId="5" borderId="11" xfId="0" applyNumberFormat="1" applyFont="1" applyFill="1" applyBorder="1"/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7" fontId="9" fillId="7" borderId="13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64" fontId="1" fillId="3" borderId="16" xfId="0" applyNumberFormat="1" applyFont="1" applyFill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17" fontId="9" fillId="9" borderId="13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17" fontId="9" fillId="10" borderId="13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7" fontId="9" fillId="7" borderId="28" xfId="0" applyNumberFormat="1" applyFont="1" applyFill="1" applyBorder="1" applyAlignment="1">
      <alignment horizontal="center" vertical="center"/>
    </xf>
    <xf numFmtId="17" fontId="9" fillId="7" borderId="29" xfId="0" applyNumberFormat="1" applyFont="1" applyFill="1" applyBorder="1" applyAlignment="1">
      <alignment horizontal="center" vertical="center"/>
    </xf>
    <xf numFmtId="17" fontId="9" fillId="7" borderId="30" xfId="0" applyNumberFormat="1" applyFont="1" applyFill="1" applyBorder="1" applyAlignment="1">
      <alignment horizontal="center" vertical="center"/>
    </xf>
    <xf numFmtId="164" fontId="4" fillId="11" borderId="10" xfId="0" applyNumberFormat="1" applyFont="1" applyFill="1" applyBorder="1" applyAlignment="1">
      <alignment horizontal="center" vertical="center" wrapText="1"/>
    </xf>
    <xf numFmtId="164" fontId="4" fillId="11" borderId="4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164" fontId="1" fillId="3" borderId="16" xfId="0" applyNumberFormat="1" applyFont="1" applyFill="1" applyBorder="1" applyAlignment="1">
      <alignment horizontal="left" vertical="center"/>
    </xf>
    <xf numFmtId="164" fontId="1" fillId="3" borderId="18" xfId="0" applyNumberFormat="1" applyFont="1" applyFill="1" applyBorder="1" applyAlignment="1">
      <alignment horizontal="left" vertical="center"/>
    </xf>
    <xf numFmtId="17" fontId="9" fillId="7" borderId="2" xfId="0" applyNumberFormat="1" applyFont="1" applyFill="1" applyBorder="1" applyAlignment="1">
      <alignment horizontal="center" vertical="center"/>
    </xf>
    <xf numFmtId="17" fontId="9" fillId="7" borderId="1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CA6F5C22-5CFA-43EF-B5A9-F78F70F87A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7759-2F86-43AC-9492-2D45A5F6BA59}">
  <sheetPr codeName="Sheet1">
    <tabColor rgb="FFFFFF00"/>
    <pageSetUpPr fitToPage="1"/>
  </sheetPr>
  <dimension ref="B2:Q88"/>
  <sheetViews>
    <sheetView view="pageBreakPreview" zoomScaleNormal="100" zoomScaleSheetLayoutView="100" workbookViewId="0">
      <selection activeCell="G80" sqref="G80"/>
    </sheetView>
  </sheetViews>
  <sheetFormatPr defaultColWidth="23.5703125" defaultRowHeight="15" x14ac:dyDescent="0.25"/>
  <cols>
    <col min="2" max="2" width="17.5703125" customWidth="1"/>
    <col min="3" max="3" width="8.85546875" customWidth="1"/>
    <col min="4" max="4" width="16.28515625" customWidth="1"/>
    <col min="5" max="5" width="20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8" customWidth="1"/>
  </cols>
  <sheetData>
    <row r="2" spans="2:17" ht="15.75" thickBot="1" x14ac:dyDescent="0.3"/>
    <row r="3" spans="2:17" ht="20.25" x14ac:dyDescent="0.3">
      <c r="B3" s="35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7" ht="20.25" x14ac:dyDescent="0.3">
      <c r="B4" s="37" t="s">
        <v>42</v>
      </c>
      <c r="C4" s="38" t="s">
        <v>38</v>
      </c>
      <c r="D4" s="38"/>
      <c r="E4" s="32"/>
      <c r="O4" s="18"/>
    </row>
    <row r="5" spans="2:17" ht="20.25" x14ac:dyDescent="0.3">
      <c r="B5" s="37" t="s">
        <v>25</v>
      </c>
      <c r="C5" s="38"/>
      <c r="D5" s="38"/>
      <c r="E5" s="32"/>
      <c r="O5" s="18"/>
    </row>
    <row r="6" spans="2:17" ht="20.25" x14ac:dyDescent="0.3">
      <c r="B6" s="37" t="s">
        <v>40</v>
      </c>
      <c r="C6" s="38"/>
      <c r="D6" s="38"/>
      <c r="E6" s="42">
        <f>Q16</f>
        <v>12</v>
      </c>
      <c r="O6" s="18"/>
    </row>
    <row r="7" spans="2:17" ht="20.25" x14ac:dyDescent="0.3">
      <c r="B7" s="37" t="s">
        <v>41</v>
      </c>
      <c r="C7" s="38"/>
      <c r="D7" s="38"/>
      <c r="E7" s="43">
        <f>Q33</f>
        <v>38</v>
      </c>
      <c r="O7" s="18"/>
    </row>
    <row r="8" spans="2:17" ht="20.25" x14ac:dyDescent="0.3">
      <c r="B8" s="37" t="s">
        <v>46</v>
      </c>
      <c r="C8" s="38"/>
      <c r="D8" s="38"/>
      <c r="E8" s="71">
        <f>Q85</f>
        <v>74.916666666666671</v>
      </c>
      <c r="O8" s="18"/>
    </row>
    <row r="9" spans="2:17" ht="21" thickBot="1" x14ac:dyDescent="0.35">
      <c r="B9" s="39" t="s">
        <v>30</v>
      </c>
      <c r="C9" s="40"/>
      <c r="D9" s="40"/>
      <c r="E9" s="72">
        <f>E6+E7+E8</f>
        <v>124.91666666666667</v>
      </c>
      <c r="O9" s="18"/>
    </row>
    <row r="10" spans="2:17" x14ac:dyDescent="0.25">
      <c r="B10" s="19"/>
      <c r="O10" s="18"/>
    </row>
    <row r="11" spans="2:17" x14ac:dyDescent="0.25">
      <c r="B11" s="19"/>
      <c r="O11" s="18"/>
    </row>
    <row r="12" spans="2:17" ht="61.5" x14ac:dyDescent="0.25">
      <c r="B12" s="78" t="s">
        <v>45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2:17" ht="15.75" x14ac:dyDescent="0.25">
      <c r="B13" s="76" t="s">
        <v>25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1"/>
      <c r="O13" s="20"/>
      <c r="P13" s="2" t="s">
        <v>14</v>
      </c>
      <c r="Q13" s="2" t="s">
        <v>15</v>
      </c>
    </row>
    <row r="14" spans="2:17" x14ac:dyDescent="0.25">
      <c r="B14" s="91" t="s">
        <v>1</v>
      </c>
      <c r="C14" s="85" t="s">
        <v>2</v>
      </c>
      <c r="D14" s="85" t="s">
        <v>3</v>
      </c>
      <c r="E14" s="89" t="s">
        <v>4</v>
      </c>
      <c r="F14" s="90"/>
      <c r="G14" s="87" t="s">
        <v>5</v>
      </c>
      <c r="H14" s="83" t="s">
        <v>6</v>
      </c>
      <c r="I14" s="87" t="s">
        <v>7</v>
      </c>
      <c r="J14" s="87" t="s">
        <v>8</v>
      </c>
      <c r="K14" s="85" t="s">
        <v>9</v>
      </c>
      <c r="L14" s="85" t="s">
        <v>10</v>
      </c>
      <c r="M14" s="83" t="s">
        <v>11</v>
      </c>
      <c r="N14" s="83" t="s">
        <v>12</v>
      </c>
      <c r="O14" s="81" t="s">
        <v>13</v>
      </c>
      <c r="P14" s="45">
        <f>SUM(E16)</f>
        <v>12</v>
      </c>
      <c r="Q14" s="45">
        <f>SUM(F16)</f>
        <v>0</v>
      </c>
    </row>
    <row r="15" spans="2:17" x14ac:dyDescent="0.25">
      <c r="B15" s="92"/>
      <c r="C15" s="86"/>
      <c r="D15" s="86"/>
      <c r="E15" s="2" t="s">
        <v>14</v>
      </c>
      <c r="F15" s="2" t="s">
        <v>15</v>
      </c>
      <c r="G15" s="88"/>
      <c r="H15" s="84"/>
      <c r="I15" s="88"/>
      <c r="J15" s="88"/>
      <c r="K15" s="86"/>
      <c r="L15" s="86"/>
      <c r="M15" s="84"/>
      <c r="N15" s="84"/>
      <c r="O15" s="82"/>
      <c r="P15" s="46"/>
      <c r="Q15" s="46">
        <f>Q14/60</f>
        <v>0</v>
      </c>
    </row>
    <row r="16" spans="2:17" x14ac:dyDescent="0.25">
      <c r="B16" s="21">
        <v>45956</v>
      </c>
      <c r="C16" s="3" t="s">
        <v>0</v>
      </c>
      <c r="D16" s="4" t="s">
        <v>38</v>
      </c>
      <c r="E16" s="5">
        <v>12</v>
      </c>
      <c r="F16" s="5">
        <v>0</v>
      </c>
      <c r="G16" s="6" t="s">
        <v>26</v>
      </c>
      <c r="H16" s="5" t="s">
        <v>16</v>
      </c>
      <c r="I16" s="5" t="s">
        <v>16</v>
      </c>
      <c r="J16" s="7" t="s">
        <v>17</v>
      </c>
      <c r="K16" s="14">
        <v>9.3333333333333339</v>
      </c>
      <c r="L16" s="14">
        <v>10.833333333333334</v>
      </c>
      <c r="M16" s="33" t="s">
        <v>22</v>
      </c>
      <c r="N16" s="15">
        <f>(L1053-K1053)-TIME(9,0,0)</f>
        <v>-0.375</v>
      </c>
      <c r="O16" s="22">
        <f>L16-K16</f>
        <v>1.5</v>
      </c>
      <c r="P16" s="13" t="s">
        <v>21</v>
      </c>
      <c r="Q16" s="13">
        <f>P14+Q15</f>
        <v>12</v>
      </c>
    </row>
    <row r="17" spans="2:17" ht="15.75" thickBot="1" x14ac:dyDescent="0.3">
      <c r="B17" s="21">
        <v>45956</v>
      </c>
      <c r="C17" s="23" t="s">
        <v>0</v>
      </c>
      <c r="D17" s="4" t="s">
        <v>38</v>
      </c>
      <c r="E17" s="24">
        <v>0</v>
      </c>
      <c r="F17" s="24">
        <v>0</v>
      </c>
      <c r="G17" s="25" t="s">
        <v>20</v>
      </c>
      <c r="H17" s="24" t="s">
        <v>16</v>
      </c>
      <c r="I17" s="24" t="s">
        <v>16</v>
      </c>
      <c r="J17" s="26"/>
      <c r="K17" s="27"/>
      <c r="L17" s="27"/>
      <c r="M17" s="34" t="s">
        <v>19</v>
      </c>
      <c r="N17" s="29"/>
      <c r="O17" s="30"/>
    </row>
    <row r="18" spans="2:17" ht="61.5" x14ac:dyDescent="0.25">
      <c r="B18" s="93" t="s">
        <v>39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5"/>
    </row>
    <row r="19" spans="2:17" ht="15.75" x14ac:dyDescent="0.25">
      <c r="B19" s="76" t="s">
        <v>25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1"/>
      <c r="O19" s="20"/>
    </row>
    <row r="20" spans="2:17" x14ac:dyDescent="0.25">
      <c r="B20" s="91" t="s">
        <v>1</v>
      </c>
      <c r="C20" s="85" t="s">
        <v>2</v>
      </c>
      <c r="D20" s="85" t="s">
        <v>3</v>
      </c>
      <c r="E20" s="89" t="s">
        <v>4</v>
      </c>
      <c r="F20" s="90"/>
      <c r="G20" s="87" t="s">
        <v>5</v>
      </c>
      <c r="H20" s="83" t="s">
        <v>6</v>
      </c>
      <c r="I20" s="87" t="s">
        <v>7</v>
      </c>
      <c r="J20" s="87" t="s">
        <v>8</v>
      </c>
      <c r="K20" s="85" t="s">
        <v>9</v>
      </c>
      <c r="L20" s="85" t="s">
        <v>10</v>
      </c>
      <c r="M20" s="83" t="s">
        <v>11</v>
      </c>
      <c r="N20" s="83" t="s">
        <v>12</v>
      </c>
      <c r="O20" s="81" t="s">
        <v>13</v>
      </c>
    </row>
    <row r="21" spans="2:17" x14ac:dyDescent="0.25">
      <c r="B21" s="92"/>
      <c r="C21" s="86"/>
      <c r="D21" s="86"/>
      <c r="E21" s="2" t="s">
        <v>14</v>
      </c>
      <c r="F21" s="2" t="s">
        <v>15</v>
      </c>
      <c r="G21" s="88"/>
      <c r="H21" s="84"/>
      <c r="I21" s="88"/>
      <c r="J21" s="88"/>
      <c r="K21" s="86"/>
      <c r="L21" s="86"/>
      <c r="M21" s="84"/>
      <c r="N21" s="84"/>
      <c r="O21" s="82"/>
    </row>
    <row r="22" spans="2:17" x14ac:dyDescent="0.25">
      <c r="B22" s="21">
        <v>45963</v>
      </c>
      <c r="C22" s="3" t="s">
        <v>0</v>
      </c>
      <c r="D22" s="4" t="s">
        <v>38</v>
      </c>
      <c r="E22" s="5">
        <v>12</v>
      </c>
      <c r="F22" s="5">
        <v>0</v>
      </c>
      <c r="G22" s="6" t="s">
        <v>26</v>
      </c>
      <c r="H22" s="5" t="s">
        <v>16</v>
      </c>
      <c r="I22" s="5" t="s">
        <v>16</v>
      </c>
      <c r="J22" s="7" t="s">
        <v>17</v>
      </c>
      <c r="K22" s="14">
        <v>9.3333333333333339</v>
      </c>
      <c r="L22" s="14">
        <v>10.833333333333334</v>
      </c>
      <c r="M22" s="33" t="s">
        <v>22</v>
      </c>
      <c r="N22" s="15">
        <f>(L1059-K1059)-TIME(9,0,0)</f>
        <v>-0.375</v>
      </c>
      <c r="O22" s="22">
        <f>L22-K22</f>
        <v>1.5</v>
      </c>
    </row>
    <row r="23" spans="2:17" ht="15.75" thickBot="1" x14ac:dyDescent="0.3">
      <c r="B23" s="21">
        <v>45963</v>
      </c>
      <c r="C23" s="23" t="s">
        <v>0</v>
      </c>
      <c r="D23" s="4" t="s">
        <v>38</v>
      </c>
      <c r="E23" s="24">
        <v>0</v>
      </c>
      <c r="F23" s="24">
        <v>0</v>
      </c>
      <c r="G23" s="25" t="s">
        <v>20</v>
      </c>
      <c r="H23" s="24" t="s">
        <v>16</v>
      </c>
      <c r="I23" s="24" t="s">
        <v>16</v>
      </c>
      <c r="J23" s="26"/>
      <c r="K23" s="27"/>
      <c r="L23" s="27"/>
      <c r="M23" s="34" t="s">
        <v>19</v>
      </c>
      <c r="N23" s="29"/>
      <c r="O23" s="30"/>
    </row>
    <row r="24" spans="2:17" ht="15.75" x14ac:dyDescent="0.25">
      <c r="B24" s="76" t="s">
        <v>25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1"/>
      <c r="O24" s="20"/>
    </row>
    <row r="25" spans="2:17" x14ac:dyDescent="0.25">
      <c r="B25" s="91" t="s">
        <v>1</v>
      </c>
      <c r="C25" s="85" t="s">
        <v>2</v>
      </c>
      <c r="D25" s="85" t="s">
        <v>3</v>
      </c>
      <c r="E25" s="89" t="s">
        <v>4</v>
      </c>
      <c r="F25" s="90"/>
      <c r="G25" s="87" t="s">
        <v>5</v>
      </c>
      <c r="H25" s="83" t="s">
        <v>6</v>
      </c>
      <c r="I25" s="87" t="s">
        <v>7</v>
      </c>
      <c r="J25" s="87" t="s">
        <v>8</v>
      </c>
      <c r="K25" s="85" t="s">
        <v>9</v>
      </c>
      <c r="L25" s="85" t="s">
        <v>10</v>
      </c>
      <c r="M25" s="83" t="s">
        <v>11</v>
      </c>
      <c r="N25" s="83" t="s">
        <v>12</v>
      </c>
      <c r="O25" s="81" t="s">
        <v>13</v>
      </c>
    </row>
    <row r="26" spans="2:17" x14ac:dyDescent="0.25">
      <c r="B26" s="92"/>
      <c r="C26" s="86"/>
      <c r="D26" s="86"/>
      <c r="E26" s="2" t="s">
        <v>14</v>
      </c>
      <c r="F26" s="2" t="s">
        <v>15</v>
      </c>
      <c r="G26" s="88"/>
      <c r="H26" s="84"/>
      <c r="I26" s="88"/>
      <c r="J26" s="88"/>
      <c r="K26" s="86"/>
      <c r="L26" s="86"/>
      <c r="M26" s="84"/>
      <c r="N26" s="84"/>
      <c r="O26" s="82"/>
    </row>
    <row r="27" spans="2:17" x14ac:dyDescent="0.25">
      <c r="B27" s="21">
        <v>45968</v>
      </c>
      <c r="C27" s="3" t="s">
        <v>0</v>
      </c>
      <c r="D27" s="4" t="s">
        <v>38</v>
      </c>
      <c r="E27" s="5">
        <v>10</v>
      </c>
      <c r="F27" s="5">
        <v>0</v>
      </c>
      <c r="G27" s="6" t="s">
        <v>26</v>
      </c>
      <c r="H27" s="5" t="s">
        <v>16</v>
      </c>
      <c r="I27" s="5" t="s">
        <v>16</v>
      </c>
      <c r="J27" s="7" t="s">
        <v>17</v>
      </c>
      <c r="K27" s="14">
        <v>9.2916666666666661</v>
      </c>
      <c r="L27" s="14">
        <v>10.708333333333334</v>
      </c>
      <c r="M27" s="33" t="s">
        <v>22</v>
      </c>
      <c r="N27" s="15">
        <f>(L1064-K1064)-TIME(9,0,0)</f>
        <v>-0.375</v>
      </c>
      <c r="O27" s="22">
        <f>L27-K27</f>
        <v>1.4166666666666679</v>
      </c>
    </row>
    <row r="28" spans="2:17" ht="15.75" thickBot="1" x14ac:dyDescent="0.3">
      <c r="B28" s="21">
        <v>45968</v>
      </c>
      <c r="C28" s="23" t="s">
        <v>0</v>
      </c>
      <c r="D28" s="4" t="s">
        <v>38</v>
      </c>
      <c r="E28" s="24">
        <v>0</v>
      </c>
      <c r="F28" s="24">
        <v>0</v>
      </c>
      <c r="G28" s="25" t="s">
        <v>20</v>
      </c>
      <c r="H28" s="24" t="s">
        <v>16</v>
      </c>
      <c r="I28" s="24" t="s">
        <v>16</v>
      </c>
      <c r="J28" s="26"/>
      <c r="K28" s="27"/>
      <c r="L28" s="27"/>
      <c r="M28" s="34" t="s">
        <v>19</v>
      </c>
      <c r="N28" s="29"/>
      <c r="O28" s="30"/>
    </row>
    <row r="29" spans="2:17" ht="15.75" x14ac:dyDescent="0.25">
      <c r="B29" s="76" t="s">
        <v>25</v>
      </c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1"/>
      <c r="O29" s="20"/>
    </row>
    <row r="30" spans="2:17" x14ac:dyDescent="0.25">
      <c r="B30" s="91" t="s">
        <v>1</v>
      </c>
      <c r="C30" s="85" t="s">
        <v>2</v>
      </c>
      <c r="D30" s="85" t="s">
        <v>3</v>
      </c>
      <c r="E30" s="89" t="s">
        <v>4</v>
      </c>
      <c r="F30" s="90"/>
      <c r="G30" s="87" t="s">
        <v>5</v>
      </c>
      <c r="H30" s="83" t="s">
        <v>6</v>
      </c>
      <c r="I30" s="87" t="s">
        <v>7</v>
      </c>
      <c r="J30" s="87" t="s">
        <v>8</v>
      </c>
      <c r="K30" s="85" t="s">
        <v>9</v>
      </c>
      <c r="L30" s="85" t="s">
        <v>10</v>
      </c>
      <c r="M30" s="83" t="s">
        <v>11</v>
      </c>
      <c r="N30" s="83" t="s">
        <v>12</v>
      </c>
      <c r="O30" s="81" t="s">
        <v>13</v>
      </c>
      <c r="P30" s="2" t="s">
        <v>14</v>
      </c>
      <c r="Q30" s="2" t="s">
        <v>15</v>
      </c>
    </row>
    <row r="31" spans="2:17" x14ac:dyDescent="0.25">
      <c r="B31" s="92"/>
      <c r="C31" s="86"/>
      <c r="D31" s="86"/>
      <c r="E31" s="2" t="s">
        <v>14</v>
      </c>
      <c r="F31" s="2" t="s">
        <v>15</v>
      </c>
      <c r="G31" s="88"/>
      <c r="H31" s="84"/>
      <c r="I31" s="88"/>
      <c r="J31" s="88"/>
      <c r="K31" s="86"/>
      <c r="L31" s="86"/>
      <c r="M31" s="84"/>
      <c r="N31" s="84"/>
      <c r="O31" s="82"/>
      <c r="P31" s="45">
        <f>SUM(E32:E33,E27:E28,E22:E23)</f>
        <v>38</v>
      </c>
      <c r="Q31" s="45">
        <f>SUM(F32:F33,F27:F28,F22:F23)</f>
        <v>0</v>
      </c>
    </row>
    <row r="32" spans="2:17" x14ac:dyDescent="0.25">
      <c r="B32" s="21">
        <v>45968</v>
      </c>
      <c r="C32" s="3" t="s">
        <v>0</v>
      </c>
      <c r="D32" s="4" t="s">
        <v>38</v>
      </c>
      <c r="E32" s="5">
        <v>16</v>
      </c>
      <c r="F32" s="5">
        <v>0</v>
      </c>
      <c r="G32" s="6" t="s">
        <v>26</v>
      </c>
      <c r="H32" s="5" t="s">
        <v>16</v>
      </c>
      <c r="I32" s="5" t="s">
        <v>16</v>
      </c>
      <c r="J32" s="7" t="s">
        <v>17</v>
      </c>
      <c r="K32" s="14">
        <v>9.2916666666666661</v>
      </c>
      <c r="L32" s="14">
        <v>10.958333333333334</v>
      </c>
      <c r="M32" s="33" t="s">
        <v>22</v>
      </c>
      <c r="N32" s="15">
        <f>(L1069-K1069)-TIME(9,0,0)</f>
        <v>-0.375</v>
      </c>
      <c r="O32" s="22">
        <f>L32-K32</f>
        <v>1.6666666666666679</v>
      </c>
      <c r="P32" s="46"/>
      <c r="Q32" s="46">
        <f>Q31/60</f>
        <v>0</v>
      </c>
    </row>
    <row r="33" spans="2:17" ht="15.75" thickBot="1" x14ac:dyDescent="0.3">
      <c r="B33" s="21">
        <v>45968</v>
      </c>
      <c r="C33" s="23" t="s">
        <v>0</v>
      </c>
      <c r="D33" s="4" t="s">
        <v>38</v>
      </c>
      <c r="E33" s="24">
        <v>0</v>
      </c>
      <c r="F33" s="24">
        <v>0</v>
      </c>
      <c r="G33" s="25" t="s">
        <v>20</v>
      </c>
      <c r="H33" s="24" t="s">
        <v>16</v>
      </c>
      <c r="I33" s="24" t="s">
        <v>16</v>
      </c>
      <c r="J33" s="26"/>
      <c r="K33" s="27"/>
      <c r="L33" s="27"/>
      <c r="M33" s="34" t="s">
        <v>19</v>
      </c>
      <c r="N33" s="29"/>
      <c r="O33" s="30"/>
      <c r="P33" s="13" t="s">
        <v>21</v>
      </c>
      <c r="Q33" s="13">
        <f>P31+Q32</f>
        <v>38</v>
      </c>
    </row>
    <row r="34" spans="2:17" ht="61.5" x14ac:dyDescent="0.25">
      <c r="B34" s="96" t="s">
        <v>47</v>
      </c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8"/>
    </row>
    <row r="35" spans="2:17" ht="15.75" x14ac:dyDescent="0.25">
      <c r="B35" s="76" t="s">
        <v>25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1"/>
      <c r="O35" s="20"/>
    </row>
    <row r="36" spans="2:17" x14ac:dyDescent="0.25">
      <c r="B36" s="57" t="s">
        <v>1</v>
      </c>
      <c r="C36" s="55" t="s">
        <v>2</v>
      </c>
      <c r="D36" s="55" t="s">
        <v>3</v>
      </c>
      <c r="E36" s="63" t="s">
        <v>4</v>
      </c>
      <c r="F36" s="64"/>
      <c r="G36" s="59" t="s">
        <v>5</v>
      </c>
      <c r="H36" s="61" t="s">
        <v>6</v>
      </c>
      <c r="I36" s="59" t="s">
        <v>7</v>
      </c>
      <c r="J36" s="59" t="s">
        <v>8</v>
      </c>
      <c r="K36" s="55" t="s">
        <v>9</v>
      </c>
      <c r="L36" s="55" t="s">
        <v>10</v>
      </c>
      <c r="M36" s="61" t="s">
        <v>11</v>
      </c>
      <c r="N36" s="61" t="s">
        <v>12</v>
      </c>
      <c r="O36" s="65" t="s">
        <v>13</v>
      </c>
    </row>
    <row r="37" spans="2:17" x14ac:dyDescent="0.25">
      <c r="B37" s="58"/>
      <c r="C37" s="56"/>
      <c r="D37" s="56"/>
      <c r="E37" s="2" t="s">
        <v>14</v>
      </c>
      <c r="F37" s="2" t="s">
        <v>15</v>
      </c>
      <c r="G37" s="60"/>
      <c r="H37" s="62"/>
      <c r="I37" s="60"/>
      <c r="J37" s="60"/>
      <c r="K37" s="56"/>
      <c r="L37" s="56"/>
      <c r="M37" s="62"/>
      <c r="N37" s="62"/>
      <c r="O37" s="66"/>
    </row>
    <row r="38" spans="2:17" x14ac:dyDescent="0.25">
      <c r="B38" s="21">
        <v>45992</v>
      </c>
      <c r="C38" s="3" t="s">
        <v>0</v>
      </c>
      <c r="D38" s="4" t="s">
        <v>38</v>
      </c>
      <c r="E38" s="5">
        <v>4</v>
      </c>
      <c r="F38" s="5">
        <v>0</v>
      </c>
      <c r="G38" s="6" t="s">
        <v>26</v>
      </c>
      <c r="H38" s="5" t="s">
        <v>16</v>
      </c>
      <c r="I38" s="5" t="s">
        <v>16</v>
      </c>
      <c r="J38" s="7" t="s">
        <v>17</v>
      </c>
      <c r="K38" s="14">
        <v>9.7083333333333339</v>
      </c>
      <c r="L38" s="14">
        <v>10.875</v>
      </c>
      <c r="M38" s="33" t="s">
        <v>24</v>
      </c>
      <c r="N38" s="15">
        <f>(L1075-K1075)-TIME(9,0,0)</f>
        <v>-0.375</v>
      </c>
      <c r="O38" s="22">
        <f>L38-K38</f>
        <v>1.1666666666666661</v>
      </c>
    </row>
    <row r="39" spans="2:17" ht="15.75" thickBot="1" x14ac:dyDescent="0.3">
      <c r="B39" s="21">
        <v>45992</v>
      </c>
      <c r="C39" s="23" t="s">
        <v>0</v>
      </c>
      <c r="D39" s="4" t="s">
        <v>38</v>
      </c>
      <c r="E39" s="24">
        <v>0</v>
      </c>
      <c r="F39" s="24">
        <v>0</v>
      </c>
      <c r="G39" s="25" t="s">
        <v>20</v>
      </c>
      <c r="H39" s="24" t="s">
        <v>16</v>
      </c>
      <c r="I39" s="24" t="s">
        <v>16</v>
      </c>
      <c r="J39" s="26"/>
      <c r="K39" s="27"/>
      <c r="L39" s="27"/>
      <c r="M39" s="34" t="s">
        <v>19</v>
      </c>
      <c r="N39" s="29"/>
      <c r="O39" s="30"/>
    </row>
    <row r="40" spans="2:17" ht="15.75" x14ac:dyDescent="0.25">
      <c r="B40" s="76" t="s">
        <v>25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1"/>
      <c r="O40" s="20"/>
    </row>
    <row r="41" spans="2:17" x14ac:dyDescent="0.25">
      <c r="B41" s="57" t="s">
        <v>1</v>
      </c>
      <c r="C41" s="55" t="s">
        <v>2</v>
      </c>
      <c r="D41" s="55" t="s">
        <v>3</v>
      </c>
      <c r="E41" s="63" t="s">
        <v>4</v>
      </c>
      <c r="F41" s="64"/>
      <c r="G41" s="59" t="s">
        <v>5</v>
      </c>
      <c r="H41" s="61" t="s">
        <v>6</v>
      </c>
      <c r="I41" s="59" t="s">
        <v>7</v>
      </c>
      <c r="J41" s="59" t="s">
        <v>8</v>
      </c>
      <c r="K41" s="55" t="s">
        <v>9</v>
      </c>
      <c r="L41" s="55" t="s">
        <v>10</v>
      </c>
      <c r="M41" s="61" t="s">
        <v>11</v>
      </c>
      <c r="N41" s="61" t="s">
        <v>12</v>
      </c>
      <c r="O41" s="65" t="s">
        <v>13</v>
      </c>
    </row>
    <row r="42" spans="2:17" x14ac:dyDescent="0.25">
      <c r="B42" s="58"/>
      <c r="C42" s="56"/>
      <c r="D42" s="56"/>
      <c r="E42" s="2" t="s">
        <v>14</v>
      </c>
      <c r="F42" s="2" t="s">
        <v>15</v>
      </c>
      <c r="G42" s="60"/>
      <c r="H42" s="62"/>
      <c r="I42" s="60"/>
      <c r="J42" s="60"/>
      <c r="K42" s="56"/>
      <c r="L42" s="56"/>
      <c r="M42" s="62"/>
      <c r="N42" s="62"/>
      <c r="O42" s="66"/>
    </row>
    <row r="43" spans="2:17" x14ac:dyDescent="0.25">
      <c r="B43" s="21">
        <v>45994</v>
      </c>
      <c r="C43" s="3" t="s">
        <v>0</v>
      </c>
      <c r="D43" s="4" t="s">
        <v>38</v>
      </c>
      <c r="E43" s="5">
        <v>4</v>
      </c>
      <c r="F43" s="5">
        <v>0</v>
      </c>
      <c r="G43" s="6" t="s">
        <v>26</v>
      </c>
      <c r="H43" s="5" t="s">
        <v>16</v>
      </c>
      <c r="I43" s="5" t="s">
        <v>16</v>
      </c>
      <c r="J43" s="7" t="s">
        <v>17</v>
      </c>
      <c r="K43" s="14">
        <v>9.7083333333333339</v>
      </c>
      <c r="L43" s="14">
        <v>10.875</v>
      </c>
      <c r="M43" s="33" t="s">
        <v>27</v>
      </c>
      <c r="N43" s="15">
        <f>(L1080-K1080)-TIME(9,0,0)</f>
        <v>-0.375</v>
      </c>
      <c r="O43" s="22">
        <f>L43-K43</f>
        <v>1.1666666666666661</v>
      </c>
    </row>
    <row r="44" spans="2:17" ht="15.75" thickBot="1" x14ac:dyDescent="0.3">
      <c r="B44" s="21">
        <v>45994</v>
      </c>
      <c r="C44" s="23" t="s">
        <v>0</v>
      </c>
      <c r="D44" s="4" t="s">
        <v>38</v>
      </c>
      <c r="E44" s="24">
        <v>0</v>
      </c>
      <c r="F44" s="24">
        <v>0</v>
      </c>
      <c r="G44" s="25" t="s">
        <v>20</v>
      </c>
      <c r="H44" s="24" t="s">
        <v>16</v>
      </c>
      <c r="I44" s="24" t="s">
        <v>16</v>
      </c>
      <c r="J44" s="26"/>
      <c r="K44" s="27"/>
      <c r="L44" s="27"/>
      <c r="M44" s="34" t="s">
        <v>19</v>
      </c>
      <c r="N44" s="29"/>
      <c r="O44" s="30"/>
    </row>
    <row r="45" spans="2:17" ht="15.75" x14ac:dyDescent="0.25">
      <c r="B45" s="76" t="s">
        <v>25</v>
      </c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1"/>
      <c r="O45" s="20"/>
    </row>
    <row r="46" spans="2:17" x14ac:dyDescent="0.25">
      <c r="B46" s="57" t="s">
        <v>1</v>
      </c>
      <c r="C46" s="55" t="s">
        <v>2</v>
      </c>
      <c r="D46" s="55" t="s">
        <v>3</v>
      </c>
      <c r="E46" s="63" t="s">
        <v>4</v>
      </c>
      <c r="F46" s="64"/>
      <c r="G46" s="59" t="s">
        <v>5</v>
      </c>
      <c r="H46" s="61" t="s">
        <v>6</v>
      </c>
      <c r="I46" s="59" t="s">
        <v>7</v>
      </c>
      <c r="J46" s="59" t="s">
        <v>8</v>
      </c>
      <c r="K46" s="55" t="s">
        <v>9</v>
      </c>
      <c r="L46" s="55" t="s">
        <v>10</v>
      </c>
      <c r="M46" s="61" t="s">
        <v>11</v>
      </c>
      <c r="N46" s="61" t="s">
        <v>12</v>
      </c>
      <c r="O46" s="65" t="s">
        <v>13</v>
      </c>
    </row>
    <row r="47" spans="2:17" x14ac:dyDescent="0.25">
      <c r="B47" s="58"/>
      <c r="C47" s="56"/>
      <c r="D47" s="56"/>
      <c r="E47" s="2" t="s">
        <v>14</v>
      </c>
      <c r="F47" s="2" t="s">
        <v>15</v>
      </c>
      <c r="G47" s="60"/>
      <c r="H47" s="62"/>
      <c r="I47" s="60"/>
      <c r="J47" s="60"/>
      <c r="K47" s="56"/>
      <c r="L47" s="56"/>
      <c r="M47" s="62"/>
      <c r="N47" s="62"/>
      <c r="O47" s="66"/>
    </row>
    <row r="48" spans="2:17" x14ac:dyDescent="0.25">
      <c r="B48" s="21">
        <v>45998</v>
      </c>
      <c r="C48" s="3" t="s">
        <v>0</v>
      </c>
      <c r="D48" s="4" t="s">
        <v>38</v>
      </c>
      <c r="E48" s="5">
        <v>12</v>
      </c>
      <c r="F48" s="5">
        <v>0</v>
      </c>
      <c r="G48" s="6" t="s">
        <v>26</v>
      </c>
      <c r="H48" s="5" t="s">
        <v>16</v>
      </c>
      <c r="I48" s="5" t="s">
        <v>16</v>
      </c>
      <c r="J48" s="7" t="s">
        <v>17</v>
      </c>
      <c r="K48" s="14">
        <v>9.3333333333333339</v>
      </c>
      <c r="L48" s="14">
        <v>10.833333333333334</v>
      </c>
      <c r="M48" s="33" t="s">
        <v>23</v>
      </c>
      <c r="N48" s="15">
        <f>(L1085-K1085)-TIME(9,0,0)</f>
        <v>-0.375</v>
      </c>
      <c r="O48" s="22">
        <f>L48-K48</f>
        <v>1.5</v>
      </c>
    </row>
    <row r="49" spans="2:15" ht="15.75" thickBot="1" x14ac:dyDescent="0.3">
      <c r="B49" s="21">
        <v>45998</v>
      </c>
      <c r="C49" s="23" t="s">
        <v>0</v>
      </c>
      <c r="D49" s="4" t="s">
        <v>38</v>
      </c>
      <c r="E49" s="24">
        <v>0</v>
      </c>
      <c r="F49" s="24">
        <v>0</v>
      </c>
      <c r="G49" s="25" t="s">
        <v>20</v>
      </c>
      <c r="H49" s="24" t="s">
        <v>16</v>
      </c>
      <c r="I49" s="24" t="s">
        <v>16</v>
      </c>
      <c r="J49" s="26"/>
      <c r="K49" s="27"/>
      <c r="L49" s="27"/>
      <c r="M49" s="34" t="s">
        <v>19</v>
      </c>
      <c r="N49" s="29"/>
      <c r="O49" s="30"/>
    </row>
    <row r="50" spans="2:15" ht="15.75" x14ac:dyDescent="0.25">
      <c r="B50" s="76" t="s">
        <v>25</v>
      </c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1"/>
      <c r="O50" s="20"/>
    </row>
    <row r="51" spans="2:15" x14ac:dyDescent="0.25">
      <c r="B51" s="57" t="s">
        <v>1</v>
      </c>
      <c r="C51" s="55" t="s">
        <v>2</v>
      </c>
      <c r="D51" s="55" t="s">
        <v>3</v>
      </c>
      <c r="E51" s="63" t="s">
        <v>4</v>
      </c>
      <c r="F51" s="64"/>
      <c r="G51" s="59" t="s">
        <v>5</v>
      </c>
      <c r="H51" s="61" t="s">
        <v>6</v>
      </c>
      <c r="I51" s="59" t="s">
        <v>7</v>
      </c>
      <c r="J51" s="59" t="s">
        <v>8</v>
      </c>
      <c r="K51" s="55" t="s">
        <v>9</v>
      </c>
      <c r="L51" s="55" t="s">
        <v>10</v>
      </c>
      <c r="M51" s="61" t="s">
        <v>11</v>
      </c>
      <c r="N51" s="61" t="s">
        <v>12</v>
      </c>
      <c r="O51" s="65" t="s">
        <v>13</v>
      </c>
    </row>
    <row r="52" spans="2:15" x14ac:dyDescent="0.25">
      <c r="B52" s="58"/>
      <c r="C52" s="56"/>
      <c r="D52" s="56"/>
      <c r="E52" s="2" t="s">
        <v>14</v>
      </c>
      <c r="F52" s="2" t="s">
        <v>15</v>
      </c>
      <c r="G52" s="60"/>
      <c r="H52" s="62"/>
      <c r="I52" s="60"/>
      <c r="J52" s="60"/>
      <c r="K52" s="56"/>
      <c r="L52" s="56"/>
      <c r="M52" s="62"/>
      <c r="N52" s="62"/>
      <c r="O52" s="66"/>
    </row>
    <row r="53" spans="2:15" x14ac:dyDescent="0.25">
      <c r="B53" s="21">
        <v>46000</v>
      </c>
      <c r="C53" s="3" t="s">
        <v>0</v>
      </c>
      <c r="D53" s="4" t="s">
        <v>38</v>
      </c>
      <c r="E53" s="5">
        <v>7</v>
      </c>
      <c r="F53" s="5">
        <v>0</v>
      </c>
      <c r="G53" s="6" t="s">
        <v>26</v>
      </c>
      <c r="H53" s="5" t="s">
        <v>16</v>
      </c>
      <c r="I53" s="5" t="s">
        <v>16</v>
      </c>
      <c r="J53" s="7" t="s">
        <v>17</v>
      </c>
      <c r="K53" s="14">
        <v>9.5833333333333339</v>
      </c>
      <c r="L53" s="14">
        <v>10.875</v>
      </c>
      <c r="M53" s="33" t="s">
        <v>18</v>
      </c>
      <c r="N53" s="15">
        <f>(L1090-K1090)-TIME(9,0,0)</f>
        <v>-0.375</v>
      </c>
      <c r="O53" s="22">
        <f>L53-K53</f>
        <v>1.2916666666666661</v>
      </c>
    </row>
    <row r="54" spans="2:15" ht="15.75" thickBot="1" x14ac:dyDescent="0.3">
      <c r="B54" s="21">
        <v>46000</v>
      </c>
      <c r="C54" s="23" t="s">
        <v>0</v>
      </c>
      <c r="D54" s="4" t="s">
        <v>38</v>
      </c>
      <c r="E54" s="24">
        <v>0</v>
      </c>
      <c r="F54" s="24">
        <v>0</v>
      </c>
      <c r="G54" s="25" t="s">
        <v>20</v>
      </c>
      <c r="H54" s="24" t="s">
        <v>16</v>
      </c>
      <c r="I54" s="24" t="s">
        <v>16</v>
      </c>
      <c r="J54" s="26"/>
      <c r="K54" s="27"/>
      <c r="L54" s="27"/>
      <c r="M54" s="34" t="s">
        <v>19</v>
      </c>
      <c r="N54" s="29"/>
      <c r="O54" s="30"/>
    </row>
    <row r="55" spans="2:15" ht="15.75" x14ac:dyDescent="0.25">
      <c r="B55" s="76" t="s">
        <v>25</v>
      </c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1"/>
      <c r="O55" s="20"/>
    </row>
    <row r="56" spans="2:15" x14ac:dyDescent="0.25">
      <c r="B56" s="57" t="s">
        <v>1</v>
      </c>
      <c r="C56" s="55" t="s">
        <v>2</v>
      </c>
      <c r="D56" s="55" t="s">
        <v>3</v>
      </c>
      <c r="E56" s="63" t="s">
        <v>4</v>
      </c>
      <c r="F56" s="64"/>
      <c r="G56" s="59" t="s">
        <v>5</v>
      </c>
      <c r="H56" s="61" t="s">
        <v>6</v>
      </c>
      <c r="I56" s="59" t="s">
        <v>7</v>
      </c>
      <c r="J56" s="59" t="s">
        <v>8</v>
      </c>
      <c r="K56" s="55" t="s">
        <v>9</v>
      </c>
      <c r="L56" s="55" t="s">
        <v>10</v>
      </c>
      <c r="M56" s="61" t="s">
        <v>11</v>
      </c>
      <c r="N56" s="61" t="s">
        <v>12</v>
      </c>
      <c r="O56" s="65" t="s">
        <v>13</v>
      </c>
    </row>
    <row r="57" spans="2:15" x14ac:dyDescent="0.25">
      <c r="B57" s="58"/>
      <c r="C57" s="56"/>
      <c r="D57" s="56"/>
      <c r="E57" s="2" t="s">
        <v>14</v>
      </c>
      <c r="F57" s="2" t="s">
        <v>15</v>
      </c>
      <c r="G57" s="60"/>
      <c r="H57" s="62"/>
      <c r="I57" s="60"/>
      <c r="J57" s="60"/>
      <c r="K57" s="56"/>
      <c r="L57" s="56"/>
      <c r="M57" s="62"/>
      <c r="N57" s="62"/>
      <c r="O57" s="66"/>
    </row>
    <row r="58" spans="2:15" x14ac:dyDescent="0.25">
      <c r="B58" s="21">
        <v>46005</v>
      </c>
      <c r="C58" s="3" t="s">
        <v>0</v>
      </c>
      <c r="D58" s="4" t="s">
        <v>38</v>
      </c>
      <c r="E58" s="5">
        <v>12</v>
      </c>
      <c r="F58" s="5">
        <v>0</v>
      </c>
      <c r="G58" s="6" t="s">
        <v>26</v>
      </c>
      <c r="H58" s="5" t="s">
        <v>16</v>
      </c>
      <c r="I58" s="5" t="s">
        <v>16</v>
      </c>
      <c r="J58" s="7" t="s">
        <v>17</v>
      </c>
      <c r="K58" s="14">
        <v>9.3333333333333339</v>
      </c>
      <c r="L58" s="14">
        <v>10.833333333333334</v>
      </c>
      <c r="M58" s="33" t="s">
        <v>23</v>
      </c>
      <c r="N58" s="15">
        <f>(L1095-K1095)-TIME(9,0,0)</f>
        <v>-0.375</v>
      </c>
      <c r="O58" s="22">
        <f>L58-K58</f>
        <v>1.5</v>
      </c>
    </row>
    <row r="59" spans="2:15" ht="15.75" thickBot="1" x14ac:dyDescent="0.3">
      <c r="B59" s="21">
        <v>46005</v>
      </c>
      <c r="C59" s="23" t="s">
        <v>0</v>
      </c>
      <c r="D59" s="4" t="s">
        <v>38</v>
      </c>
      <c r="E59" s="24">
        <v>0</v>
      </c>
      <c r="F59" s="24">
        <v>0</v>
      </c>
      <c r="G59" s="25" t="s">
        <v>20</v>
      </c>
      <c r="H59" s="24" t="s">
        <v>16</v>
      </c>
      <c r="I59" s="24" t="s">
        <v>16</v>
      </c>
      <c r="J59" s="26"/>
      <c r="K59" s="27"/>
      <c r="L59" s="27"/>
      <c r="M59" s="34" t="s">
        <v>19</v>
      </c>
      <c r="N59" s="29"/>
      <c r="O59" s="30"/>
    </row>
    <row r="60" spans="2:15" ht="15.75" x14ac:dyDescent="0.25">
      <c r="B60" s="76" t="s">
        <v>50</v>
      </c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1"/>
      <c r="O60" s="20"/>
    </row>
    <row r="61" spans="2:15" ht="15.75" x14ac:dyDescent="0.25">
      <c r="B61" s="76" t="s">
        <v>25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1"/>
      <c r="O61" s="20"/>
    </row>
    <row r="62" spans="2:15" x14ac:dyDescent="0.25">
      <c r="B62" s="57" t="s">
        <v>1</v>
      </c>
      <c r="C62" s="55" t="s">
        <v>2</v>
      </c>
      <c r="D62" s="55" t="s">
        <v>3</v>
      </c>
      <c r="E62" s="63" t="s">
        <v>4</v>
      </c>
      <c r="F62" s="64"/>
      <c r="G62" s="59" t="s">
        <v>5</v>
      </c>
      <c r="H62" s="61" t="s">
        <v>6</v>
      </c>
      <c r="I62" s="59" t="s">
        <v>7</v>
      </c>
      <c r="J62" s="59" t="s">
        <v>8</v>
      </c>
      <c r="K62" s="55" t="s">
        <v>9</v>
      </c>
      <c r="L62" s="55" t="s">
        <v>10</v>
      </c>
      <c r="M62" s="61" t="s">
        <v>11</v>
      </c>
      <c r="N62" s="61" t="s">
        <v>12</v>
      </c>
      <c r="O62" s="65" t="s">
        <v>13</v>
      </c>
    </row>
    <row r="63" spans="2:15" x14ac:dyDescent="0.25">
      <c r="B63" s="58"/>
      <c r="C63" s="56"/>
      <c r="D63" s="56"/>
      <c r="E63" s="2" t="s">
        <v>14</v>
      </c>
      <c r="F63" s="2" t="s">
        <v>15</v>
      </c>
      <c r="G63" s="60"/>
      <c r="H63" s="62"/>
      <c r="I63" s="60"/>
      <c r="J63" s="60"/>
      <c r="K63" s="56"/>
      <c r="L63" s="56"/>
      <c r="M63" s="62"/>
      <c r="N63" s="62"/>
      <c r="O63" s="66"/>
    </row>
    <row r="64" spans="2:15" x14ac:dyDescent="0.25">
      <c r="B64" s="21">
        <v>46014</v>
      </c>
      <c r="C64" s="3" t="s">
        <v>0</v>
      </c>
      <c r="D64" s="4" t="s">
        <v>38</v>
      </c>
      <c r="E64" s="5">
        <v>7</v>
      </c>
      <c r="F64" s="5">
        <v>30</v>
      </c>
      <c r="G64" s="6" t="s">
        <v>26</v>
      </c>
      <c r="H64" s="5" t="s">
        <v>16</v>
      </c>
      <c r="I64" s="5" t="s">
        <v>16</v>
      </c>
      <c r="J64" s="7" t="s">
        <v>17</v>
      </c>
      <c r="K64" s="14">
        <v>9.2916666666666661</v>
      </c>
      <c r="L64" s="14">
        <v>10.604166666666666</v>
      </c>
      <c r="M64" s="33" t="s">
        <v>18</v>
      </c>
      <c r="N64" s="15">
        <f>(L1101-K1101)-TIME(9,0,0)</f>
        <v>-0.375</v>
      </c>
      <c r="O64" s="22">
        <f>L64-K64</f>
        <v>1.3125</v>
      </c>
    </row>
    <row r="65" spans="2:15" ht="15.75" thickBot="1" x14ac:dyDescent="0.3">
      <c r="B65" s="21">
        <v>46014</v>
      </c>
      <c r="C65" s="23" t="s">
        <v>0</v>
      </c>
      <c r="D65" s="4" t="s">
        <v>38</v>
      </c>
      <c r="E65" s="24">
        <v>0</v>
      </c>
      <c r="F65" s="24">
        <v>0</v>
      </c>
      <c r="G65" s="25" t="s">
        <v>20</v>
      </c>
      <c r="H65" s="24" t="s">
        <v>16</v>
      </c>
      <c r="I65" s="24" t="s">
        <v>16</v>
      </c>
      <c r="J65" s="26"/>
      <c r="K65" s="27"/>
      <c r="L65" s="27"/>
      <c r="M65" s="34" t="s">
        <v>19</v>
      </c>
      <c r="N65" s="29"/>
      <c r="O65" s="30"/>
    </row>
    <row r="66" spans="2:15" ht="15.75" x14ac:dyDescent="0.25">
      <c r="B66" s="76" t="s">
        <v>25</v>
      </c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1"/>
      <c r="O66" s="20"/>
    </row>
    <row r="67" spans="2:15" x14ac:dyDescent="0.25">
      <c r="B67" s="57" t="s">
        <v>1</v>
      </c>
      <c r="C67" s="55" t="s">
        <v>2</v>
      </c>
      <c r="D67" s="55" t="s">
        <v>3</v>
      </c>
      <c r="E67" s="63" t="s">
        <v>4</v>
      </c>
      <c r="F67" s="64"/>
      <c r="G67" s="59" t="s">
        <v>5</v>
      </c>
      <c r="H67" s="61" t="s">
        <v>6</v>
      </c>
      <c r="I67" s="59" t="s">
        <v>7</v>
      </c>
      <c r="J67" s="59" t="s">
        <v>8</v>
      </c>
      <c r="K67" s="55" t="s">
        <v>9</v>
      </c>
      <c r="L67" s="55" t="s">
        <v>10</v>
      </c>
      <c r="M67" s="61" t="s">
        <v>11</v>
      </c>
      <c r="N67" s="61" t="s">
        <v>12</v>
      </c>
      <c r="O67" s="65" t="s">
        <v>13</v>
      </c>
    </row>
    <row r="68" spans="2:15" x14ac:dyDescent="0.25">
      <c r="B68" s="58"/>
      <c r="C68" s="56"/>
      <c r="D68" s="56"/>
      <c r="E68" s="2" t="s">
        <v>14</v>
      </c>
      <c r="F68" s="2" t="s">
        <v>15</v>
      </c>
      <c r="G68" s="60"/>
      <c r="H68" s="62"/>
      <c r="I68" s="60"/>
      <c r="J68" s="60"/>
      <c r="K68" s="56"/>
      <c r="L68" s="56"/>
      <c r="M68" s="62"/>
      <c r="N68" s="62"/>
      <c r="O68" s="66"/>
    </row>
    <row r="69" spans="2:15" x14ac:dyDescent="0.25">
      <c r="B69" s="21">
        <v>46015</v>
      </c>
      <c r="C69" s="3" t="s">
        <v>0</v>
      </c>
      <c r="D69" s="4" t="s">
        <v>38</v>
      </c>
      <c r="E69" s="5">
        <v>3</v>
      </c>
      <c r="F69" s="5">
        <v>30</v>
      </c>
      <c r="G69" s="6" t="s">
        <v>26</v>
      </c>
      <c r="H69" s="5" t="s">
        <v>16</v>
      </c>
      <c r="I69" s="5" t="s">
        <v>16</v>
      </c>
      <c r="J69" s="7" t="s">
        <v>17</v>
      </c>
      <c r="K69" s="14">
        <v>9.6041666666666661</v>
      </c>
      <c r="L69" s="14">
        <v>10.75</v>
      </c>
      <c r="M69" s="33" t="s">
        <v>27</v>
      </c>
      <c r="N69" s="15">
        <f>(L1106-K1106)-TIME(9,0,0)</f>
        <v>-0.375</v>
      </c>
      <c r="O69" s="22">
        <f>L69-K69</f>
        <v>1.1458333333333339</v>
      </c>
    </row>
    <row r="70" spans="2:15" ht="15.75" thickBot="1" x14ac:dyDescent="0.3">
      <c r="B70" s="21">
        <v>46015</v>
      </c>
      <c r="C70" s="23" t="s">
        <v>0</v>
      </c>
      <c r="D70" s="4" t="s">
        <v>38</v>
      </c>
      <c r="E70" s="24">
        <v>0</v>
      </c>
      <c r="F70" s="24">
        <v>0</v>
      </c>
      <c r="G70" s="25" t="s">
        <v>20</v>
      </c>
      <c r="H70" s="24" t="s">
        <v>16</v>
      </c>
      <c r="I70" s="24" t="s">
        <v>16</v>
      </c>
      <c r="J70" s="26"/>
      <c r="K70" s="27"/>
      <c r="L70" s="27"/>
      <c r="M70" s="34" t="s">
        <v>19</v>
      </c>
      <c r="N70" s="29"/>
      <c r="O70" s="30"/>
    </row>
    <row r="71" spans="2:15" ht="15.75" x14ac:dyDescent="0.25">
      <c r="B71" s="76" t="s">
        <v>25</v>
      </c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1"/>
      <c r="O71" s="20"/>
    </row>
    <row r="72" spans="2:15" x14ac:dyDescent="0.25">
      <c r="B72" s="57" t="s">
        <v>1</v>
      </c>
      <c r="C72" s="55" t="s">
        <v>2</v>
      </c>
      <c r="D72" s="55" t="s">
        <v>3</v>
      </c>
      <c r="E72" s="63" t="s">
        <v>4</v>
      </c>
      <c r="F72" s="64"/>
      <c r="G72" s="59" t="s">
        <v>5</v>
      </c>
      <c r="H72" s="61" t="s">
        <v>6</v>
      </c>
      <c r="I72" s="59" t="s">
        <v>7</v>
      </c>
      <c r="J72" s="59" t="s">
        <v>8</v>
      </c>
      <c r="K72" s="55" t="s">
        <v>9</v>
      </c>
      <c r="L72" s="55" t="s">
        <v>10</v>
      </c>
      <c r="M72" s="61" t="s">
        <v>11</v>
      </c>
      <c r="N72" s="61" t="s">
        <v>12</v>
      </c>
      <c r="O72" s="65" t="s">
        <v>13</v>
      </c>
    </row>
    <row r="73" spans="2:15" x14ac:dyDescent="0.25">
      <c r="B73" s="58"/>
      <c r="C73" s="56"/>
      <c r="D73" s="56"/>
      <c r="E73" s="2" t="s">
        <v>14</v>
      </c>
      <c r="F73" s="2" t="s">
        <v>15</v>
      </c>
      <c r="G73" s="60"/>
      <c r="H73" s="62"/>
      <c r="I73" s="60"/>
      <c r="J73" s="60"/>
      <c r="K73" s="56"/>
      <c r="L73" s="56"/>
      <c r="M73" s="62"/>
      <c r="N73" s="62"/>
      <c r="O73" s="66"/>
    </row>
    <row r="74" spans="2:15" x14ac:dyDescent="0.25">
      <c r="B74" s="21">
        <v>46017</v>
      </c>
      <c r="C74" s="3" t="s">
        <v>0</v>
      </c>
      <c r="D74" s="4" t="s">
        <v>38</v>
      </c>
      <c r="E74" s="5">
        <v>4</v>
      </c>
      <c r="F74" s="5">
        <v>25</v>
      </c>
      <c r="G74" s="6" t="s">
        <v>26</v>
      </c>
      <c r="H74" s="5" t="s">
        <v>16</v>
      </c>
      <c r="I74" s="5" t="s">
        <v>16</v>
      </c>
      <c r="J74" s="7" t="s">
        <v>17</v>
      </c>
      <c r="K74" s="14">
        <v>9.6493055555555554</v>
      </c>
      <c r="L74" s="14">
        <v>10.833333333333334</v>
      </c>
      <c r="M74" s="33" t="s">
        <v>29</v>
      </c>
      <c r="N74" s="15">
        <f>(L1111-K1111)-TIME(9,0,0)</f>
        <v>-0.375</v>
      </c>
      <c r="O74" s="22">
        <f>L74-K74</f>
        <v>1.1840277777777786</v>
      </c>
    </row>
    <row r="75" spans="2:15" ht="15.75" thickBot="1" x14ac:dyDescent="0.3">
      <c r="B75" s="21">
        <v>46017</v>
      </c>
      <c r="C75" s="23" t="s">
        <v>0</v>
      </c>
      <c r="D75" s="4" t="s">
        <v>38</v>
      </c>
      <c r="E75" s="24">
        <v>0</v>
      </c>
      <c r="F75" s="24">
        <v>0</v>
      </c>
      <c r="G75" s="25" t="s">
        <v>20</v>
      </c>
      <c r="H75" s="24" t="s">
        <v>16</v>
      </c>
      <c r="I75" s="24" t="s">
        <v>16</v>
      </c>
      <c r="J75" s="26"/>
      <c r="K75" s="27"/>
      <c r="L75" s="27"/>
      <c r="M75" s="34" t="s">
        <v>19</v>
      </c>
      <c r="N75" s="29"/>
      <c r="O75" s="30"/>
    </row>
    <row r="76" spans="2:15" ht="15.75" x14ac:dyDescent="0.25">
      <c r="B76" s="76" t="s">
        <v>25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1"/>
      <c r="O76" s="20"/>
    </row>
    <row r="77" spans="2:15" x14ac:dyDescent="0.25">
      <c r="B77" s="57" t="s">
        <v>1</v>
      </c>
      <c r="C77" s="55" t="s">
        <v>2</v>
      </c>
      <c r="D77" s="55" t="s">
        <v>3</v>
      </c>
      <c r="E77" s="63" t="s">
        <v>4</v>
      </c>
      <c r="F77" s="64"/>
      <c r="G77" s="59" t="s">
        <v>5</v>
      </c>
      <c r="H77" s="61" t="s">
        <v>6</v>
      </c>
      <c r="I77" s="59" t="s">
        <v>7</v>
      </c>
      <c r="J77" s="59" t="s">
        <v>8</v>
      </c>
      <c r="K77" s="55" t="s">
        <v>9</v>
      </c>
      <c r="L77" s="55" t="s">
        <v>10</v>
      </c>
      <c r="M77" s="61" t="s">
        <v>11</v>
      </c>
      <c r="N77" s="61" t="s">
        <v>12</v>
      </c>
      <c r="O77" s="65" t="s">
        <v>13</v>
      </c>
    </row>
    <row r="78" spans="2:15" x14ac:dyDescent="0.25">
      <c r="B78" s="58"/>
      <c r="C78" s="56"/>
      <c r="D78" s="56"/>
      <c r="E78" s="2" t="s">
        <v>14</v>
      </c>
      <c r="F78" s="2" t="s">
        <v>15</v>
      </c>
      <c r="G78" s="60"/>
      <c r="H78" s="62"/>
      <c r="I78" s="60"/>
      <c r="J78" s="60"/>
      <c r="K78" s="56"/>
      <c r="L78" s="56"/>
      <c r="M78" s="62"/>
      <c r="N78" s="62"/>
      <c r="O78" s="66"/>
    </row>
    <row r="79" spans="2:15" x14ac:dyDescent="0.25">
      <c r="B79" s="21">
        <v>46019</v>
      </c>
      <c r="C79" s="3" t="s">
        <v>0</v>
      </c>
      <c r="D79" s="4" t="s">
        <v>38</v>
      </c>
      <c r="E79" s="5">
        <v>6</v>
      </c>
      <c r="F79" s="5">
        <v>30</v>
      </c>
      <c r="G79" s="6" t="s">
        <v>26</v>
      </c>
      <c r="H79" s="5" t="s">
        <v>16</v>
      </c>
      <c r="I79" s="5" t="s">
        <v>16</v>
      </c>
      <c r="J79" s="7" t="s">
        <v>17</v>
      </c>
      <c r="K79" s="14">
        <v>9.3333333333333339</v>
      </c>
      <c r="L79" s="14">
        <v>10.604166666666666</v>
      </c>
      <c r="M79" s="33" t="s">
        <v>23</v>
      </c>
      <c r="N79" s="15">
        <f>(L1116-K1116)-TIME(9,0,0)</f>
        <v>-0.375</v>
      </c>
      <c r="O79" s="22">
        <f>L79-K79</f>
        <v>1.2708333333333321</v>
      </c>
    </row>
    <row r="80" spans="2:15" ht="15.75" thickBot="1" x14ac:dyDescent="0.3">
      <c r="B80" s="21">
        <v>46019</v>
      </c>
      <c r="C80" s="23" t="s">
        <v>0</v>
      </c>
      <c r="D80" s="4" t="s">
        <v>38</v>
      </c>
      <c r="E80" s="24">
        <v>0</v>
      </c>
      <c r="F80" s="24">
        <v>0</v>
      </c>
      <c r="G80" s="25" t="s">
        <v>20</v>
      </c>
      <c r="H80" s="24" t="s">
        <v>16</v>
      </c>
      <c r="I80" s="24" t="s">
        <v>16</v>
      </c>
      <c r="J80" s="26"/>
      <c r="K80" s="27"/>
      <c r="L80" s="27"/>
      <c r="M80" s="34" t="s">
        <v>19</v>
      </c>
      <c r="N80" s="29"/>
      <c r="O80" s="30"/>
    </row>
    <row r="81" spans="2:17" ht="15.75" x14ac:dyDescent="0.25">
      <c r="B81" s="76" t="s">
        <v>25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1"/>
      <c r="O81" s="20"/>
    </row>
    <row r="82" spans="2:17" x14ac:dyDescent="0.25">
      <c r="B82" s="57" t="s">
        <v>1</v>
      </c>
      <c r="C82" s="55" t="s">
        <v>2</v>
      </c>
      <c r="D82" s="55" t="s">
        <v>3</v>
      </c>
      <c r="E82" s="63" t="s">
        <v>4</v>
      </c>
      <c r="F82" s="64"/>
      <c r="G82" s="59" t="s">
        <v>5</v>
      </c>
      <c r="H82" s="61" t="s">
        <v>6</v>
      </c>
      <c r="I82" s="59" t="s">
        <v>7</v>
      </c>
      <c r="J82" s="59" t="s">
        <v>8</v>
      </c>
      <c r="K82" s="55" t="s">
        <v>9</v>
      </c>
      <c r="L82" s="55" t="s">
        <v>10</v>
      </c>
      <c r="M82" s="61" t="s">
        <v>11</v>
      </c>
      <c r="N82" s="61" t="s">
        <v>12</v>
      </c>
      <c r="O82" s="65" t="s">
        <v>13</v>
      </c>
      <c r="P82" s="2" t="s">
        <v>14</v>
      </c>
      <c r="Q82" s="2" t="s">
        <v>15</v>
      </c>
    </row>
    <row r="83" spans="2:17" x14ac:dyDescent="0.25">
      <c r="B83" s="58"/>
      <c r="C83" s="56"/>
      <c r="D83" s="56"/>
      <c r="E83" s="2" t="s">
        <v>14</v>
      </c>
      <c r="F83" s="2" t="s">
        <v>15</v>
      </c>
      <c r="G83" s="60"/>
      <c r="H83" s="62"/>
      <c r="I83" s="60"/>
      <c r="J83" s="60"/>
      <c r="K83" s="56"/>
      <c r="L83" s="56"/>
      <c r="M83" s="62"/>
      <c r="N83" s="62"/>
      <c r="O83" s="66"/>
      <c r="P83" s="45">
        <f>SUM(E84,E79,E74,E69,E64,E58,E53,E48,E43,E38)</f>
        <v>73</v>
      </c>
      <c r="Q83" s="45">
        <f>SUM(F84,F79,F74,F69,F64,F58,F53,F48,F43,F38)</f>
        <v>115</v>
      </c>
    </row>
    <row r="84" spans="2:17" x14ac:dyDescent="0.25">
      <c r="B84" s="21">
        <v>46020</v>
      </c>
      <c r="C84" s="3" t="s">
        <v>0</v>
      </c>
      <c r="D84" s="4" t="s">
        <v>38</v>
      </c>
      <c r="E84" s="5">
        <v>14</v>
      </c>
      <c r="F84" s="5">
        <v>0</v>
      </c>
      <c r="G84" s="6" t="s">
        <v>26</v>
      </c>
      <c r="H84" s="5" t="s">
        <v>16</v>
      </c>
      <c r="I84" s="5" t="s">
        <v>16</v>
      </c>
      <c r="J84" s="7" t="s">
        <v>17</v>
      </c>
      <c r="K84" s="14">
        <v>9.2916666666666661</v>
      </c>
      <c r="L84" s="14">
        <v>10.875</v>
      </c>
      <c r="M84" s="33" t="s">
        <v>24</v>
      </c>
      <c r="N84" s="15">
        <f>(L1121-K1121)-TIME(9,0,0)</f>
        <v>-0.375</v>
      </c>
      <c r="O84" s="22">
        <f>L84-K84</f>
        <v>1.5833333333333339</v>
      </c>
      <c r="P84" s="46"/>
      <c r="Q84" s="46">
        <f>Q83/60</f>
        <v>1.9166666666666667</v>
      </c>
    </row>
    <row r="85" spans="2:17" ht="15.75" thickBot="1" x14ac:dyDescent="0.3">
      <c r="B85" s="21">
        <v>46020</v>
      </c>
      <c r="C85" s="23" t="s">
        <v>0</v>
      </c>
      <c r="D85" s="4" t="s">
        <v>38</v>
      </c>
      <c r="E85" s="24">
        <v>0</v>
      </c>
      <c r="F85" s="24">
        <v>0</v>
      </c>
      <c r="G85" s="25" t="s">
        <v>20</v>
      </c>
      <c r="H85" s="24" t="s">
        <v>16</v>
      </c>
      <c r="I85" s="24" t="s">
        <v>16</v>
      </c>
      <c r="J85" s="26"/>
      <c r="K85" s="27"/>
      <c r="L85" s="27"/>
      <c r="M85" s="34" t="s">
        <v>19</v>
      </c>
      <c r="N85" s="29"/>
      <c r="O85" s="30"/>
      <c r="P85" s="13" t="s">
        <v>21</v>
      </c>
      <c r="Q85" s="70">
        <f>P83+Q84</f>
        <v>74.916666666666671</v>
      </c>
    </row>
    <row r="86" spans="2:17" x14ac:dyDescent="0.25">
      <c r="B86" s="9" t="s">
        <v>19</v>
      </c>
      <c r="C86" s="8"/>
      <c r="D86" s="9"/>
      <c r="E86" s="10">
        <f>SUM(E84:E85)</f>
        <v>14</v>
      </c>
      <c r="F86" s="10">
        <f>SUM(F84:F85)</f>
        <v>0</v>
      </c>
      <c r="G86" s="11"/>
      <c r="H86" s="11"/>
      <c r="I86" s="11"/>
      <c r="J86" s="11"/>
      <c r="K86" s="12"/>
      <c r="L86" s="12"/>
      <c r="M86" s="9"/>
      <c r="N86" s="9"/>
      <c r="O86" s="9"/>
    </row>
    <row r="87" spans="2:17" x14ac:dyDescent="0.25">
      <c r="B87" s="8"/>
      <c r="C87" s="8"/>
      <c r="D87" s="9"/>
      <c r="E87" s="11"/>
      <c r="F87" s="11">
        <f>F86/60</f>
        <v>0</v>
      </c>
      <c r="G87" s="11"/>
      <c r="H87" s="11"/>
      <c r="I87" s="11"/>
      <c r="J87" s="11"/>
      <c r="K87" s="12"/>
      <c r="L87" s="12"/>
      <c r="M87" s="9"/>
      <c r="N87" s="9"/>
      <c r="O87" s="9"/>
    </row>
    <row r="88" spans="2:17" x14ac:dyDescent="0.25">
      <c r="B88" s="8"/>
      <c r="C88" s="8"/>
      <c r="D88" s="9"/>
      <c r="E88" s="13" t="s">
        <v>21</v>
      </c>
      <c r="F88" s="13">
        <f>E86+F87</f>
        <v>14</v>
      </c>
      <c r="G88" s="11"/>
      <c r="H88" s="11"/>
      <c r="I88" s="11"/>
      <c r="J88" s="11"/>
      <c r="K88" s="12"/>
      <c r="L88" s="12"/>
      <c r="M88" s="9"/>
      <c r="N88" s="9"/>
      <c r="O88" s="41"/>
    </row>
  </sheetData>
  <mergeCells count="70">
    <mergeCell ref="B40:M40"/>
    <mergeCell ref="B45:M45"/>
    <mergeCell ref="B50:M50"/>
    <mergeCell ref="B55:M55"/>
    <mergeCell ref="B35:M35"/>
    <mergeCell ref="B34:O34"/>
    <mergeCell ref="E30:F30"/>
    <mergeCell ref="D30:D31"/>
    <mergeCell ref="C30:C31"/>
    <mergeCell ref="B30:B31"/>
    <mergeCell ref="O30:O31"/>
    <mergeCell ref="N30:N31"/>
    <mergeCell ref="B29:M29"/>
    <mergeCell ref="J30:J31"/>
    <mergeCell ref="I30:I31"/>
    <mergeCell ref="H30:H31"/>
    <mergeCell ref="G30:G31"/>
    <mergeCell ref="M30:M31"/>
    <mergeCell ref="L30:L31"/>
    <mergeCell ref="K30:K31"/>
    <mergeCell ref="E20:F20"/>
    <mergeCell ref="D20:D21"/>
    <mergeCell ref="C20:C21"/>
    <mergeCell ref="B20:B21"/>
    <mergeCell ref="B19:M19"/>
    <mergeCell ref="I20:I21"/>
    <mergeCell ref="H20:H21"/>
    <mergeCell ref="G20:G21"/>
    <mergeCell ref="B18:O18"/>
    <mergeCell ref="O25:O26"/>
    <mergeCell ref="N25:N26"/>
    <mergeCell ref="M25:M26"/>
    <mergeCell ref="L25:L26"/>
    <mergeCell ref="K25:K26"/>
    <mergeCell ref="J25:J26"/>
    <mergeCell ref="I25:I26"/>
    <mergeCell ref="H25:H26"/>
    <mergeCell ref="G25:G26"/>
    <mergeCell ref="E25:F25"/>
    <mergeCell ref="D25:D26"/>
    <mergeCell ref="C25:C26"/>
    <mergeCell ref="B25:B26"/>
    <mergeCell ref="B24:M24"/>
    <mergeCell ref="O20:O21"/>
    <mergeCell ref="N20:N21"/>
    <mergeCell ref="M20:M21"/>
    <mergeCell ref="L20:L21"/>
    <mergeCell ref="K20:K21"/>
    <mergeCell ref="J20:J21"/>
    <mergeCell ref="B12:O12"/>
    <mergeCell ref="O14:O15"/>
    <mergeCell ref="N14:N15"/>
    <mergeCell ref="M14:M15"/>
    <mergeCell ref="L14:L15"/>
    <mergeCell ref="K14:K15"/>
    <mergeCell ref="J14:J15"/>
    <mergeCell ref="I14:I15"/>
    <mergeCell ref="H14:H15"/>
    <mergeCell ref="G14:G15"/>
    <mergeCell ref="E14:F14"/>
    <mergeCell ref="D14:D15"/>
    <mergeCell ref="C14:C15"/>
    <mergeCell ref="B14:B15"/>
    <mergeCell ref="B13:M13"/>
    <mergeCell ref="B81:M81"/>
    <mergeCell ref="B60:M60"/>
    <mergeCell ref="B61:M61"/>
    <mergeCell ref="B66:M66"/>
    <mergeCell ref="B71:M71"/>
    <mergeCell ref="B76:M76"/>
  </mergeCells>
  <phoneticPr fontId="3" type="noConversion"/>
  <pageMargins left="0.25" right="0.25" top="0.75" bottom="0.75" header="0.3" footer="0.3"/>
  <pageSetup paperSize="9"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4996-7514-4EE0-9231-5F64D686F201}">
  <dimension ref="A1:I8"/>
  <sheetViews>
    <sheetView tabSelected="1" workbookViewId="0">
      <selection activeCell="L14" sqref="L14"/>
    </sheetView>
  </sheetViews>
  <sheetFormatPr defaultRowHeight="15" x14ac:dyDescent="0.25"/>
  <cols>
    <col min="1" max="1" width="14.5703125" bestFit="1" customWidth="1"/>
    <col min="2" max="2" width="10.28515625" bestFit="1" customWidth="1"/>
    <col min="5" max="5" width="10.7109375" bestFit="1" customWidth="1"/>
    <col min="8" max="8" width="22.42578125" bestFit="1" customWidth="1"/>
  </cols>
  <sheetData>
    <row r="1" spans="1:9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5">
      <c r="A2" t="s">
        <v>80</v>
      </c>
      <c r="B2" t="s">
        <v>67</v>
      </c>
      <c r="C2">
        <v>1000</v>
      </c>
      <c r="D2" t="s">
        <v>68</v>
      </c>
      <c r="E2" t="s">
        <v>69</v>
      </c>
      <c r="F2" t="s">
        <v>70</v>
      </c>
      <c r="G2">
        <v>15.5</v>
      </c>
      <c r="H2" t="s">
        <v>71</v>
      </c>
      <c r="I2">
        <v>7700123456</v>
      </c>
    </row>
    <row r="3" spans="1:9" x14ac:dyDescent="0.25">
      <c r="A3" t="s">
        <v>81</v>
      </c>
      <c r="B3" t="s">
        <v>72</v>
      </c>
      <c r="C3">
        <v>1001</v>
      </c>
      <c r="D3" t="s">
        <v>73</v>
      </c>
      <c r="E3" t="s">
        <v>74</v>
      </c>
      <c r="F3" t="s">
        <v>70</v>
      </c>
      <c r="G3">
        <v>16.5</v>
      </c>
      <c r="H3" t="s">
        <v>75</v>
      </c>
      <c r="I3">
        <v>7700123456</v>
      </c>
    </row>
    <row r="4" spans="1:9" x14ac:dyDescent="0.25">
      <c r="A4" t="s">
        <v>82</v>
      </c>
      <c r="B4" t="s">
        <v>76</v>
      </c>
      <c r="C4">
        <v>1002</v>
      </c>
      <c r="D4" t="s">
        <v>77</v>
      </c>
      <c r="E4" t="s">
        <v>78</v>
      </c>
      <c r="F4" t="s">
        <v>70</v>
      </c>
      <c r="G4">
        <v>17.5</v>
      </c>
      <c r="H4" t="s">
        <v>79</v>
      </c>
      <c r="I4">
        <v>7700123456</v>
      </c>
    </row>
    <row r="5" spans="1:9" x14ac:dyDescent="0.25">
      <c r="A5" t="s">
        <v>0</v>
      </c>
      <c r="B5" t="s">
        <v>76</v>
      </c>
      <c r="C5">
        <v>1003</v>
      </c>
      <c r="D5" t="s">
        <v>68</v>
      </c>
      <c r="E5" t="s">
        <v>85</v>
      </c>
      <c r="F5" t="s">
        <v>70</v>
      </c>
      <c r="G5">
        <v>18.5</v>
      </c>
      <c r="H5" t="s">
        <v>71</v>
      </c>
      <c r="I5">
        <v>7700123456</v>
      </c>
    </row>
    <row r="6" spans="1:9" x14ac:dyDescent="0.25">
      <c r="A6" t="s">
        <v>32</v>
      </c>
      <c r="B6" t="s">
        <v>76</v>
      </c>
      <c r="C6">
        <v>1004</v>
      </c>
      <c r="D6" t="s">
        <v>68</v>
      </c>
      <c r="E6" t="s">
        <v>86</v>
      </c>
      <c r="F6" t="s">
        <v>70</v>
      </c>
      <c r="G6">
        <v>19.5</v>
      </c>
      <c r="H6" t="s">
        <v>75</v>
      </c>
      <c r="I6">
        <v>7700123456</v>
      </c>
    </row>
    <row r="7" spans="1:9" x14ac:dyDescent="0.25">
      <c r="A7" t="s">
        <v>83</v>
      </c>
      <c r="B7" t="s">
        <v>76</v>
      </c>
      <c r="C7">
        <v>1005</v>
      </c>
      <c r="D7" t="s">
        <v>68</v>
      </c>
      <c r="E7" t="s">
        <v>87</v>
      </c>
      <c r="F7" t="s">
        <v>70</v>
      </c>
      <c r="G7">
        <v>20.5</v>
      </c>
      <c r="H7" t="s">
        <v>79</v>
      </c>
      <c r="I7">
        <v>7700123456</v>
      </c>
    </row>
    <row r="8" spans="1:9" x14ac:dyDescent="0.25">
      <c r="A8" t="s">
        <v>84</v>
      </c>
      <c r="B8" t="s">
        <v>76</v>
      </c>
      <c r="C8">
        <v>1006</v>
      </c>
      <c r="D8" t="s">
        <v>68</v>
      </c>
      <c r="E8" t="s">
        <v>88</v>
      </c>
      <c r="F8" t="s">
        <v>70</v>
      </c>
      <c r="G8">
        <v>21.5</v>
      </c>
      <c r="H8" t="s">
        <v>71</v>
      </c>
      <c r="I8">
        <v>7700123456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B1C6-2E44-414D-B36A-68F072E47D64}">
  <sheetPr>
    <tabColor rgb="FFFFC000"/>
    <pageSetUpPr fitToPage="1"/>
  </sheetPr>
  <dimension ref="B2:Q153"/>
  <sheetViews>
    <sheetView view="pageBreakPreview" topLeftCell="A120" zoomScaleNormal="100" zoomScaleSheetLayoutView="100" workbookViewId="0">
      <selection activeCell="B94" sqref="B94:O150"/>
    </sheetView>
  </sheetViews>
  <sheetFormatPr defaultColWidth="23.5703125" defaultRowHeight="15" x14ac:dyDescent="0.25"/>
  <cols>
    <col min="2" max="2" width="17.7109375" customWidth="1"/>
    <col min="3" max="3" width="8.85546875" customWidth="1"/>
    <col min="4" max="4" width="21.7109375" bestFit="1" customWidth="1"/>
    <col min="5" max="5" width="14.42578125" bestFit="1" customWidth="1"/>
    <col min="6" max="6" width="9.28515625" bestFit="1" customWidth="1"/>
    <col min="7" max="7" width="19.140625" bestFit="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35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37" t="s">
        <v>42</v>
      </c>
      <c r="C4" s="38" t="s">
        <v>38</v>
      </c>
      <c r="D4" s="38"/>
      <c r="E4" s="32"/>
      <c r="O4" s="18"/>
    </row>
    <row r="5" spans="2:15" ht="20.25" x14ac:dyDescent="0.3">
      <c r="B5" s="37" t="s">
        <v>31</v>
      </c>
      <c r="C5" s="38"/>
      <c r="D5" s="38"/>
      <c r="E5" s="32"/>
      <c r="O5" s="18"/>
    </row>
    <row r="6" spans="2:15" ht="20.25" x14ac:dyDescent="0.3">
      <c r="B6" s="37" t="s">
        <v>40</v>
      </c>
      <c r="C6" s="38"/>
      <c r="D6" s="38"/>
      <c r="E6" s="42">
        <f>Q72</f>
        <v>164</v>
      </c>
      <c r="O6" s="18"/>
    </row>
    <row r="7" spans="2:15" ht="20.25" x14ac:dyDescent="0.3">
      <c r="B7" s="37" t="s">
        <v>41</v>
      </c>
      <c r="C7" s="38"/>
      <c r="D7" s="38"/>
      <c r="E7" s="43">
        <f>Q93</f>
        <v>58</v>
      </c>
      <c r="O7" s="18"/>
    </row>
    <row r="8" spans="2:15" ht="20.25" x14ac:dyDescent="0.3">
      <c r="B8" s="37" t="s">
        <v>55</v>
      </c>
      <c r="C8" s="38"/>
      <c r="D8" s="38"/>
      <c r="E8" s="43">
        <f>Q150</f>
        <v>72.5</v>
      </c>
      <c r="O8" s="18"/>
    </row>
    <row r="9" spans="2:15" ht="21" thickBot="1" x14ac:dyDescent="0.35">
      <c r="B9" s="39" t="s">
        <v>30</v>
      </c>
      <c r="C9" s="40"/>
      <c r="D9" s="40"/>
      <c r="E9" s="44">
        <f>E6+E7</f>
        <v>222</v>
      </c>
      <c r="O9" s="18"/>
    </row>
    <row r="10" spans="2:15" x14ac:dyDescent="0.25">
      <c r="B10" s="19"/>
      <c r="O10" s="18"/>
    </row>
    <row r="11" spans="2:15" ht="15.75" thickBot="1" x14ac:dyDescent="0.3">
      <c r="B11" s="19"/>
      <c r="O11" s="18"/>
    </row>
    <row r="12" spans="2:15" ht="61.5" x14ac:dyDescent="0.25">
      <c r="B12" s="101" t="s">
        <v>37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3"/>
    </row>
    <row r="13" spans="2:15" ht="15.75" x14ac:dyDescent="0.25">
      <c r="B13" s="76" t="s">
        <v>31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1"/>
      <c r="O13" s="20"/>
    </row>
    <row r="14" spans="2:15" x14ac:dyDescent="0.25">
      <c r="B14" s="91" t="s">
        <v>1</v>
      </c>
      <c r="C14" s="85" t="s">
        <v>2</v>
      </c>
      <c r="D14" s="85" t="s">
        <v>3</v>
      </c>
      <c r="E14" s="89" t="s">
        <v>4</v>
      </c>
      <c r="F14" s="90"/>
      <c r="G14" s="87" t="s">
        <v>5</v>
      </c>
      <c r="H14" s="83" t="s">
        <v>6</v>
      </c>
      <c r="I14" s="87" t="s">
        <v>7</v>
      </c>
      <c r="J14" s="87" t="s">
        <v>8</v>
      </c>
      <c r="K14" s="85" t="s">
        <v>9</v>
      </c>
      <c r="L14" s="85" t="s">
        <v>10</v>
      </c>
      <c r="M14" s="83" t="s">
        <v>11</v>
      </c>
      <c r="N14" s="83" t="s">
        <v>12</v>
      </c>
      <c r="O14" s="81" t="s">
        <v>13</v>
      </c>
    </row>
    <row r="15" spans="2:15" x14ac:dyDescent="0.25">
      <c r="B15" s="92"/>
      <c r="C15" s="86"/>
      <c r="D15" s="86"/>
      <c r="E15" s="2" t="s">
        <v>14</v>
      </c>
      <c r="F15" s="2" t="s">
        <v>15</v>
      </c>
      <c r="G15" s="88"/>
      <c r="H15" s="84"/>
      <c r="I15" s="88"/>
      <c r="J15" s="88"/>
      <c r="K15" s="86"/>
      <c r="L15" s="86"/>
      <c r="M15" s="84"/>
      <c r="N15" s="84"/>
      <c r="O15" s="82"/>
    </row>
    <row r="16" spans="2:15" x14ac:dyDescent="0.25">
      <c r="B16" s="21">
        <v>45945</v>
      </c>
      <c r="C16" s="3" t="s">
        <v>32</v>
      </c>
      <c r="D16" s="4" t="s">
        <v>38</v>
      </c>
      <c r="E16" s="5">
        <v>14</v>
      </c>
      <c r="F16" s="5">
        <v>30</v>
      </c>
      <c r="G16" s="6" t="s">
        <v>26</v>
      </c>
      <c r="H16" s="5" t="s">
        <v>16</v>
      </c>
      <c r="I16" s="5" t="s">
        <v>16</v>
      </c>
      <c r="J16" s="7" t="s">
        <v>17</v>
      </c>
      <c r="K16" s="14">
        <v>9.2916666666666661</v>
      </c>
      <c r="L16" s="14">
        <v>10.895833333333334</v>
      </c>
      <c r="M16" s="33" t="s">
        <v>27</v>
      </c>
      <c r="N16" s="15">
        <f>(L1028-K1028)-TIME(9,0,0)</f>
        <v>-0.375</v>
      </c>
      <c r="O16" s="47">
        <f>L16-K16</f>
        <v>1.6041666666666679</v>
      </c>
    </row>
    <row r="17" spans="2:15" ht="15.75" thickBot="1" x14ac:dyDescent="0.3">
      <c r="B17" s="21">
        <v>45945</v>
      </c>
      <c r="C17" s="23" t="s">
        <v>32</v>
      </c>
      <c r="D17" s="4" t="s">
        <v>38</v>
      </c>
      <c r="E17" s="24">
        <v>0</v>
      </c>
      <c r="F17" s="24">
        <v>0</v>
      </c>
      <c r="G17" s="25" t="s">
        <v>20</v>
      </c>
      <c r="H17" s="24" t="s">
        <v>16</v>
      </c>
      <c r="I17" s="24" t="s">
        <v>16</v>
      </c>
      <c r="J17" s="26"/>
      <c r="K17" s="27"/>
      <c r="L17" s="27"/>
      <c r="M17" s="34" t="s">
        <v>19</v>
      </c>
      <c r="N17" s="29"/>
      <c r="O17" s="30"/>
    </row>
    <row r="18" spans="2:15" ht="15.75" x14ac:dyDescent="0.25">
      <c r="B18" s="99" t="s">
        <v>31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"/>
      <c r="O18" s="20"/>
    </row>
    <row r="19" spans="2:15" x14ac:dyDescent="0.25">
      <c r="B19" s="91" t="s">
        <v>1</v>
      </c>
      <c r="C19" s="85" t="s">
        <v>2</v>
      </c>
      <c r="D19" s="85" t="s">
        <v>3</v>
      </c>
      <c r="E19" s="89" t="s">
        <v>4</v>
      </c>
      <c r="F19" s="90"/>
      <c r="G19" s="87" t="s">
        <v>5</v>
      </c>
      <c r="H19" s="83" t="s">
        <v>6</v>
      </c>
      <c r="I19" s="87" t="s">
        <v>7</v>
      </c>
      <c r="J19" s="87" t="s">
        <v>8</v>
      </c>
      <c r="K19" s="85" t="s">
        <v>9</v>
      </c>
      <c r="L19" s="85" t="s">
        <v>10</v>
      </c>
      <c r="M19" s="83" t="s">
        <v>11</v>
      </c>
      <c r="N19" s="83" t="s">
        <v>12</v>
      </c>
      <c r="O19" s="81" t="s">
        <v>13</v>
      </c>
    </row>
    <row r="20" spans="2:15" x14ac:dyDescent="0.25">
      <c r="B20" s="92"/>
      <c r="C20" s="86"/>
      <c r="D20" s="86"/>
      <c r="E20" s="2" t="s">
        <v>14</v>
      </c>
      <c r="F20" s="2" t="s">
        <v>15</v>
      </c>
      <c r="G20" s="88"/>
      <c r="H20" s="84"/>
      <c r="I20" s="88"/>
      <c r="J20" s="88"/>
      <c r="K20" s="86"/>
      <c r="L20" s="86"/>
      <c r="M20" s="84"/>
      <c r="N20" s="84"/>
      <c r="O20" s="82"/>
    </row>
    <row r="21" spans="2:15" x14ac:dyDescent="0.25">
      <c r="B21" s="21">
        <v>45946</v>
      </c>
      <c r="C21" s="3" t="s">
        <v>32</v>
      </c>
      <c r="D21" s="4" t="s">
        <v>38</v>
      </c>
      <c r="E21" s="5">
        <v>14</v>
      </c>
      <c r="F21" s="5">
        <v>30</v>
      </c>
      <c r="G21" s="6" t="s">
        <v>26</v>
      </c>
      <c r="H21" s="5" t="s">
        <v>16</v>
      </c>
      <c r="I21" s="5" t="s">
        <v>16</v>
      </c>
      <c r="J21" s="7" t="s">
        <v>17</v>
      </c>
      <c r="K21" s="14">
        <v>9.2916666666666661</v>
      </c>
      <c r="L21" s="14">
        <v>10.895833333333334</v>
      </c>
      <c r="M21" s="33" t="s">
        <v>28</v>
      </c>
      <c r="N21" s="15">
        <f>(L1033-K1033)-TIME(9,0,0)</f>
        <v>-0.375</v>
      </c>
      <c r="O21" s="22">
        <f>L21-K21</f>
        <v>1.6041666666666679</v>
      </c>
    </row>
    <row r="22" spans="2:15" ht="15.75" thickBot="1" x14ac:dyDescent="0.3">
      <c r="B22" s="21">
        <v>45946</v>
      </c>
      <c r="C22" s="23" t="s">
        <v>32</v>
      </c>
      <c r="D22" s="4" t="s">
        <v>38</v>
      </c>
      <c r="E22" s="24">
        <v>0</v>
      </c>
      <c r="F22" s="24">
        <v>0</v>
      </c>
      <c r="G22" s="25" t="s">
        <v>20</v>
      </c>
      <c r="H22" s="24" t="s">
        <v>16</v>
      </c>
      <c r="I22" s="24" t="s">
        <v>16</v>
      </c>
      <c r="J22" s="26"/>
      <c r="K22" s="27"/>
      <c r="L22" s="27"/>
      <c r="M22" s="34" t="s">
        <v>19</v>
      </c>
      <c r="N22" s="29"/>
      <c r="O22" s="30"/>
    </row>
    <row r="23" spans="2:15" ht="15.75" x14ac:dyDescent="0.25">
      <c r="B23" s="99" t="s">
        <v>31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"/>
      <c r="O23" s="20"/>
    </row>
    <row r="24" spans="2:15" x14ac:dyDescent="0.25">
      <c r="B24" s="91" t="s">
        <v>1</v>
      </c>
      <c r="C24" s="85" t="s">
        <v>2</v>
      </c>
      <c r="D24" s="85" t="s">
        <v>3</v>
      </c>
      <c r="E24" s="89" t="s">
        <v>4</v>
      </c>
      <c r="F24" s="90"/>
      <c r="G24" s="87" t="s">
        <v>5</v>
      </c>
      <c r="H24" s="83" t="s">
        <v>6</v>
      </c>
      <c r="I24" s="87" t="s">
        <v>7</v>
      </c>
      <c r="J24" s="87" t="s">
        <v>8</v>
      </c>
      <c r="K24" s="85" t="s">
        <v>9</v>
      </c>
      <c r="L24" s="85" t="s">
        <v>10</v>
      </c>
      <c r="M24" s="83" t="s">
        <v>11</v>
      </c>
      <c r="N24" s="83" t="s">
        <v>12</v>
      </c>
      <c r="O24" s="81" t="s">
        <v>13</v>
      </c>
    </row>
    <row r="25" spans="2:15" x14ac:dyDescent="0.25">
      <c r="B25" s="92"/>
      <c r="C25" s="86"/>
      <c r="D25" s="86"/>
      <c r="E25" s="2" t="s">
        <v>14</v>
      </c>
      <c r="F25" s="2" t="s">
        <v>15</v>
      </c>
      <c r="G25" s="88"/>
      <c r="H25" s="84"/>
      <c r="I25" s="88"/>
      <c r="J25" s="88"/>
      <c r="K25" s="86"/>
      <c r="L25" s="86"/>
      <c r="M25" s="84"/>
      <c r="N25" s="84"/>
      <c r="O25" s="82"/>
    </row>
    <row r="26" spans="2:15" x14ac:dyDescent="0.25">
      <c r="B26" s="21">
        <v>45947</v>
      </c>
      <c r="C26" s="3" t="s">
        <v>32</v>
      </c>
      <c r="D26" s="4" t="s">
        <v>38</v>
      </c>
      <c r="E26" s="5">
        <v>16</v>
      </c>
      <c r="F26" s="5">
        <v>0</v>
      </c>
      <c r="G26" s="6" t="s">
        <v>26</v>
      </c>
      <c r="H26" s="5" t="s">
        <v>16</v>
      </c>
      <c r="I26" s="5" t="s">
        <v>16</v>
      </c>
      <c r="J26" s="7" t="s">
        <v>17</v>
      </c>
      <c r="K26" s="14">
        <v>9.2916666666666661</v>
      </c>
      <c r="L26" s="14">
        <v>10.958333333333334</v>
      </c>
      <c r="M26" s="33" t="s">
        <v>29</v>
      </c>
      <c r="N26" s="15">
        <f>(L1038-K1038)-TIME(9,0,0)</f>
        <v>-0.375</v>
      </c>
      <c r="O26" s="22">
        <f>L26-K26</f>
        <v>1.6666666666666679</v>
      </c>
    </row>
    <row r="27" spans="2:15" ht="15.75" thickBot="1" x14ac:dyDescent="0.3">
      <c r="B27" s="21">
        <v>45947</v>
      </c>
      <c r="C27" s="23" t="s">
        <v>32</v>
      </c>
      <c r="D27" s="4" t="s">
        <v>38</v>
      </c>
      <c r="E27" s="24">
        <v>0</v>
      </c>
      <c r="F27" s="24">
        <v>0</v>
      </c>
      <c r="G27" s="25" t="s">
        <v>20</v>
      </c>
      <c r="H27" s="24" t="s">
        <v>16</v>
      </c>
      <c r="I27" s="24" t="s">
        <v>16</v>
      </c>
      <c r="J27" s="26"/>
      <c r="K27" s="27"/>
      <c r="L27" s="27"/>
      <c r="M27" s="34" t="s">
        <v>19</v>
      </c>
      <c r="N27" s="29"/>
      <c r="O27" s="30"/>
    </row>
    <row r="28" spans="2:15" ht="15.75" x14ac:dyDescent="0.25">
      <c r="B28" s="99" t="s">
        <v>31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"/>
      <c r="O28" s="20"/>
    </row>
    <row r="29" spans="2:15" x14ac:dyDescent="0.25">
      <c r="B29" s="91" t="s">
        <v>1</v>
      </c>
      <c r="C29" s="85" t="s">
        <v>2</v>
      </c>
      <c r="D29" s="85" t="s">
        <v>3</v>
      </c>
      <c r="E29" s="89" t="s">
        <v>4</v>
      </c>
      <c r="F29" s="90"/>
      <c r="G29" s="87" t="s">
        <v>5</v>
      </c>
      <c r="H29" s="83" t="s">
        <v>6</v>
      </c>
      <c r="I29" s="87" t="s">
        <v>7</v>
      </c>
      <c r="J29" s="87" t="s">
        <v>8</v>
      </c>
      <c r="K29" s="85" t="s">
        <v>9</v>
      </c>
      <c r="L29" s="85" t="s">
        <v>10</v>
      </c>
      <c r="M29" s="83" t="s">
        <v>11</v>
      </c>
      <c r="N29" s="83" t="s">
        <v>12</v>
      </c>
      <c r="O29" s="81" t="s">
        <v>13</v>
      </c>
    </row>
    <row r="30" spans="2:15" x14ac:dyDescent="0.25">
      <c r="B30" s="92"/>
      <c r="C30" s="86"/>
      <c r="D30" s="86"/>
      <c r="E30" s="2" t="s">
        <v>14</v>
      </c>
      <c r="F30" s="2" t="s">
        <v>15</v>
      </c>
      <c r="G30" s="88"/>
      <c r="H30" s="84"/>
      <c r="I30" s="88"/>
      <c r="J30" s="88"/>
      <c r="K30" s="86"/>
      <c r="L30" s="86"/>
      <c r="M30" s="84"/>
      <c r="N30" s="84"/>
      <c r="O30" s="82"/>
    </row>
    <row r="31" spans="2:15" x14ac:dyDescent="0.25">
      <c r="B31" s="21">
        <v>45948</v>
      </c>
      <c r="C31" s="3" t="s">
        <v>32</v>
      </c>
      <c r="D31" s="4" t="s">
        <v>38</v>
      </c>
      <c r="E31" s="5">
        <v>16</v>
      </c>
      <c r="F31" s="5">
        <v>0</v>
      </c>
      <c r="G31" s="6" t="s">
        <v>26</v>
      </c>
      <c r="H31" s="5" t="s">
        <v>16</v>
      </c>
      <c r="I31" s="5" t="s">
        <v>16</v>
      </c>
      <c r="J31" s="7" t="s">
        <v>17</v>
      </c>
      <c r="K31" s="14">
        <v>9.2916666666666661</v>
      </c>
      <c r="L31" s="14">
        <v>10.958333333333334</v>
      </c>
      <c r="M31" s="33" t="s">
        <v>22</v>
      </c>
      <c r="N31" s="15">
        <f>(L1043-K1043)-TIME(9,0,0)</f>
        <v>-0.375</v>
      </c>
      <c r="O31" s="22">
        <f>L31-K31</f>
        <v>1.6666666666666679</v>
      </c>
    </row>
    <row r="32" spans="2:15" ht="15.75" thickBot="1" x14ac:dyDescent="0.3">
      <c r="B32" s="21">
        <v>45948</v>
      </c>
      <c r="C32" s="23" t="s">
        <v>32</v>
      </c>
      <c r="D32" s="4" t="s">
        <v>38</v>
      </c>
      <c r="E32" s="24">
        <v>0</v>
      </c>
      <c r="F32" s="24">
        <v>0</v>
      </c>
      <c r="G32" s="25" t="s">
        <v>20</v>
      </c>
      <c r="H32" s="24" t="s">
        <v>16</v>
      </c>
      <c r="I32" s="24" t="s">
        <v>16</v>
      </c>
      <c r="J32" s="26"/>
      <c r="K32" s="27"/>
      <c r="L32" s="27"/>
      <c r="M32" s="34" t="s">
        <v>19</v>
      </c>
      <c r="N32" s="29"/>
      <c r="O32" s="30"/>
    </row>
    <row r="33" spans="2:15" ht="15.75" x14ac:dyDescent="0.25">
      <c r="B33" s="99" t="s">
        <v>31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"/>
      <c r="O33" s="20"/>
    </row>
    <row r="34" spans="2:15" x14ac:dyDescent="0.25">
      <c r="B34" s="91" t="s">
        <v>1</v>
      </c>
      <c r="C34" s="85" t="s">
        <v>2</v>
      </c>
      <c r="D34" s="85" t="s">
        <v>3</v>
      </c>
      <c r="E34" s="89" t="s">
        <v>4</v>
      </c>
      <c r="F34" s="90"/>
      <c r="G34" s="87" t="s">
        <v>5</v>
      </c>
      <c r="H34" s="83" t="s">
        <v>6</v>
      </c>
      <c r="I34" s="87" t="s">
        <v>7</v>
      </c>
      <c r="J34" s="87" t="s">
        <v>8</v>
      </c>
      <c r="K34" s="85" t="s">
        <v>9</v>
      </c>
      <c r="L34" s="85" t="s">
        <v>10</v>
      </c>
      <c r="M34" s="83" t="s">
        <v>11</v>
      </c>
      <c r="N34" s="83" t="s">
        <v>12</v>
      </c>
      <c r="O34" s="81" t="s">
        <v>13</v>
      </c>
    </row>
    <row r="35" spans="2:15" x14ac:dyDescent="0.25">
      <c r="B35" s="92"/>
      <c r="C35" s="86"/>
      <c r="D35" s="86"/>
      <c r="E35" s="2" t="s">
        <v>14</v>
      </c>
      <c r="F35" s="2" t="s">
        <v>15</v>
      </c>
      <c r="G35" s="88"/>
      <c r="H35" s="84"/>
      <c r="I35" s="88"/>
      <c r="J35" s="88"/>
      <c r="K35" s="86"/>
      <c r="L35" s="86"/>
      <c r="M35" s="84"/>
      <c r="N35" s="84"/>
      <c r="O35" s="82"/>
    </row>
    <row r="36" spans="2:15" x14ac:dyDescent="0.25">
      <c r="B36" s="21">
        <v>45949</v>
      </c>
      <c r="C36" s="3" t="s">
        <v>32</v>
      </c>
      <c r="D36" s="4" t="s">
        <v>38</v>
      </c>
      <c r="E36" s="5">
        <v>12</v>
      </c>
      <c r="F36" s="5">
        <v>0</v>
      </c>
      <c r="G36" s="6" t="s">
        <v>26</v>
      </c>
      <c r="H36" s="5" t="s">
        <v>16</v>
      </c>
      <c r="I36" s="5" t="s">
        <v>16</v>
      </c>
      <c r="J36" s="7" t="s">
        <v>17</v>
      </c>
      <c r="K36" s="14">
        <v>9.3333333333333339</v>
      </c>
      <c r="L36" s="14">
        <v>10.833333333333334</v>
      </c>
      <c r="M36" s="33" t="s">
        <v>23</v>
      </c>
      <c r="N36" s="15">
        <f>(L1048-K1048)-TIME(9,0,0)</f>
        <v>-0.375</v>
      </c>
      <c r="O36" s="22">
        <f>L36-K36</f>
        <v>1.5</v>
      </c>
    </row>
    <row r="37" spans="2:15" ht="15.75" thickBot="1" x14ac:dyDescent="0.3">
      <c r="B37" s="21">
        <v>45949</v>
      </c>
      <c r="C37" s="23" t="s">
        <v>32</v>
      </c>
      <c r="D37" s="4" t="s">
        <v>38</v>
      </c>
      <c r="E37" s="24">
        <v>0</v>
      </c>
      <c r="F37" s="24">
        <v>0</v>
      </c>
      <c r="G37" s="25" t="s">
        <v>20</v>
      </c>
      <c r="H37" s="24" t="s">
        <v>16</v>
      </c>
      <c r="I37" s="24" t="s">
        <v>16</v>
      </c>
      <c r="J37" s="26"/>
      <c r="K37" s="27"/>
      <c r="L37" s="27"/>
      <c r="M37" s="34" t="s">
        <v>19</v>
      </c>
      <c r="N37" s="29"/>
      <c r="O37" s="30"/>
    </row>
    <row r="38" spans="2:15" ht="15.75" x14ac:dyDescent="0.25">
      <c r="B38" s="99" t="s">
        <v>31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"/>
      <c r="O38" s="20"/>
    </row>
    <row r="39" spans="2:15" x14ac:dyDescent="0.25">
      <c r="B39" s="91" t="s">
        <v>1</v>
      </c>
      <c r="C39" s="85" t="s">
        <v>2</v>
      </c>
      <c r="D39" s="85" t="s">
        <v>3</v>
      </c>
      <c r="E39" s="89" t="s">
        <v>4</v>
      </c>
      <c r="F39" s="90"/>
      <c r="G39" s="87" t="s">
        <v>5</v>
      </c>
      <c r="H39" s="83" t="s">
        <v>6</v>
      </c>
      <c r="I39" s="87" t="s">
        <v>7</v>
      </c>
      <c r="J39" s="87" t="s">
        <v>8</v>
      </c>
      <c r="K39" s="85" t="s">
        <v>9</v>
      </c>
      <c r="L39" s="85" t="s">
        <v>10</v>
      </c>
      <c r="M39" s="83" t="s">
        <v>11</v>
      </c>
      <c r="N39" s="83" t="s">
        <v>12</v>
      </c>
      <c r="O39" s="81" t="s">
        <v>13</v>
      </c>
    </row>
    <row r="40" spans="2:15" x14ac:dyDescent="0.25">
      <c r="B40" s="92"/>
      <c r="C40" s="86"/>
      <c r="D40" s="86"/>
      <c r="E40" s="2" t="s">
        <v>14</v>
      </c>
      <c r="F40" s="2" t="s">
        <v>15</v>
      </c>
      <c r="G40" s="88"/>
      <c r="H40" s="84"/>
      <c r="I40" s="88"/>
      <c r="J40" s="88"/>
      <c r="K40" s="86"/>
      <c r="L40" s="86"/>
      <c r="M40" s="84"/>
      <c r="N40" s="84"/>
      <c r="O40" s="82"/>
    </row>
    <row r="41" spans="2:15" x14ac:dyDescent="0.25">
      <c r="B41" s="21">
        <v>45950</v>
      </c>
      <c r="C41" s="3" t="s">
        <v>32</v>
      </c>
      <c r="D41" s="4" t="s">
        <v>38</v>
      </c>
      <c r="E41" s="5">
        <v>15</v>
      </c>
      <c r="F41" s="5">
        <v>0</v>
      </c>
      <c r="G41" s="6" t="s">
        <v>26</v>
      </c>
      <c r="H41" s="5" t="s">
        <v>16</v>
      </c>
      <c r="I41" s="5" t="s">
        <v>16</v>
      </c>
      <c r="J41" s="7" t="s">
        <v>17</v>
      </c>
      <c r="K41" s="14">
        <v>9.2916666666666661</v>
      </c>
      <c r="L41" s="14">
        <v>10.916666666666666</v>
      </c>
      <c r="M41" s="33" t="s">
        <v>24</v>
      </c>
      <c r="N41" s="15">
        <f>(L1053-K1053)-TIME(9,0,0)</f>
        <v>-0.375</v>
      </c>
      <c r="O41" s="22">
        <f>L41-K41</f>
        <v>1.625</v>
      </c>
    </row>
    <row r="42" spans="2:15" ht="15.75" thickBot="1" x14ac:dyDescent="0.3">
      <c r="B42" s="21">
        <v>45950</v>
      </c>
      <c r="C42" s="23" t="s">
        <v>32</v>
      </c>
      <c r="D42" s="4" t="s">
        <v>38</v>
      </c>
      <c r="E42" s="24">
        <v>0</v>
      </c>
      <c r="F42" s="24">
        <v>0</v>
      </c>
      <c r="G42" s="25" t="s">
        <v>20</v>
      </c>
      <c r="H42" s="24" t="s">
        <v>16</v>
      </c>
      <c r="I42" s="24" t="s">
        <v>16</v>
      </c>
      <c r="J42" s="26"/>
      <c r="K42" s="27"/>
      <c r="L42" s="27"/>
      <c r="M42" s="34" t="s">
        <v>19</v>
      </c>
      <c r="N42" s="29"/>
      <c r="O42" s="30"/>
    </row>
    <row r="43" spans="2:15" ht="15.75" x14ac:dyDescent="0.25">
      <c r="B43" s="99" t="s">
        <v>31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"/>
      <c r="O43" s="20"/>
    </row>
    <row r="44" spans="2:15" x14ac:dyDescent="0.25">
      <c r="B44" s="91" t="s">
        <v>1</v>
      </c>
      <c r="C44" s="85" t="s">
        <v>2</v>
      </c>
      <c r="D44" s="85" t="s">
        <v>3</v>
      </c>
      <c r="E44" s="89" t="s">
        <v>4</v>
      </c>
      <c r="F44" s="90"/>
      <c r="G44" s="87" t="s">
        <v>5</v>
      </c>
      <c r="H44" s="83" t="s">
        <v>6</v>
      </c>
      <c r="I44" s="87" t="s">
        <v>7</v>
      </c>
      <c r="J44" s="87" t="s">
        <v>8</v>
      </c>
      <c r="K44" s="85" t="s">
        <v>9</v>
      </c>
      <c r="L44" s="85" t="s">
        <v>10</v>
      </c>
      <c r="M44" s="83" t="s">
        <v>11</v>
      </c>
      <c r="N44" s="83" t="s">
        <v>12</v>
      </c>
      <c r="O44" s="81" t="s">
        <v>13</v>
      </c>
    </row>
    <row r="45" spans="2:15" x14ac:dyDescent="0.25">
      <c r="B45" s="92"/>
      <c r="C45" s="86"/>
      <c r="D45" s="86"/>
      <c r="E45" s="2" t="s">
        <v>14</v>
      </c>
      <c r="F45" s="2" t="s">
        <v>15</v>
      </c>
      <c r="G45" s="88"/>
      <c r="H45" s="84"/>
      <c r="I45" s="88"/>
      <c r="J45" s="88"/>
      <c r="K45" s="86"/>
      <c r="L45" s="86"/>
      <c r="M45" s="84"/>
      <c r="N45" s="84"/>
      <c r="O45" s="82"/>
    </row>
    <row r="46" spans="2:15" x14ac:dyDescent="0.25">
      <c r="B46" s="21">
        <v>45951</v>
      </c>
      <c r="C46" s="3" t="s">
        <v>32</v>
      </c>
      <c r="D46" s="4" t="s">
        <v>38</v>
      </c>
      <c r="E46" s="5">
        <v>10</v>
      </c>
      <c r="F46" s="5">
        <v>0</v>
      </c>
      <c r="G46" s="6" t="s">
        <v>26</v>
      </c>
      <c r="H46" s="5" t="s">
        <v>16</v>
      </c>
      <c r="I46" s="5" t="s">
        <v>16</v>
      </c>
      <c r="J46" s="7" t="s">
        <v>17</v>
      </c>
      <c r="K46" s="14">
        <v>9.2916666666666661</v>
      </c>
      <c r="L46" s="14">
        <v>10.708333333333334</v>
      </c>
      <c r="M46" s="33" t="s">
        <v>18</v>
      </c>
      <c r="N46" s="15">
        <f>(L1058-K1058)-TIME(9,0,0)</f>
        <v>-0.375</v>
      </c>
      <c r="O46" s="22">
        <f>L46-K46</f>
        <v>1.4166666666666679</v>
      </c>
    </row>
    <row r="47" spans="2:15" ht="15.75" thickBot="1" x14ac:dyDescent="0.3">
      <c r="B47" s="21">
        <v>45951</v>
      </c>
      <c r="C47" s="23" t="s">
        <v>32</v>
      </c>
      <c r="D47" s="4" t="s">
        <v>38</v>
      </c>
      <c r="E47" s="24">
        <v>0</v>
      </c>
      <c r="F47" s="24">
        <v>0</v>
      </c>
      <c r="G47" s="25" t="s">
        <v>20</v>
      </c>
      <c r="H47" s="24" t="s">
        <v>16</v>
      </c>
      <c r="I47" s="24" t="s">
        <v>16</v>
      </c>
      <c r="J47" s="26"/>
      <c r="K47" s="27"/>
      <c r="L47" s="27"/>
      <c r="M47" s="34" t="s">
        <v>19</v>
      </c>
      <c r="N47" s="29"/>
      <c r="O47" s="30"/>
    </row>
    <row r="48" spans="2:15" ht="15.75" x14ac:dyDescent="0.25">
      <c r="B48" s="99" t="s">
        <v>31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"/>
      <c r="O48" s="20"/>
    </row>
    <row r="49" spans="2:15" x14ac:dyDescent="0.25">
      <c r="B49" s="91" t="s">
        <v>1</v>
      </c>
      <c r="C49" s="85" t="s">
        <v>2</v>
      </c>
      <c r="D49" s="85" t="s">
        <v>3</v>
      </c>
      <c r="E49" s="89" t="s">
        <v>4</v>
      </c>
      <c r="F49" s="90"/>
      <c r="G49" s="87" t="s">
        <v>5</v>
      </c>
      <c r="H49" s="83" t="s">
        <v>6</v>
      </c>
      <c r="I49" s="87" t="s">
        <v>7</v>
      </c>
      <c r="J49" s="87" t="s">
        <v>8</v>
      </c>
      <c r="K49" s="85" t="s">
        <v>9</v>
      </c>
      <c r="L49" s="85" t="s">
        <v>10</v>
      </c>
      <c r="M49" s="83" t="s">
        <v>11</v>
      </c>
      <c r="N49" s="83" t="s">
        <v>12</v>
      </c>
      <c r="O49" s="81" t="s">
        <v>13</v>
      </c>
    </row>
    <row r="50" spans="2:15" x14ac:dyDescent="0.25">
      <c r="B50" s="92"/>
      <c r="C50" s="86"/>
      <c r="D50" s="86"/>
      <c r="E50" s="2" t="s">
        <v>14</v>
      </c>
      <c r="F50" s="2" t="s">
        <v>15</v>
      </c>
      <c r="G50" s="88"/>
      <c r="H50" s="84"/>
      <c r="I50" s="88"/>
      <c r="J50" s="88"/>
      <c r="K50" s="86"/>
      <c r="L50" s="86"/>
      <c r="M50" s="84"/>
      <c r="N50" s="84"/>
      <c r="O50" s="82"/>
    </row>
    <row r="51" spans="2:15" x14ac:dyDescent="0.25">
      <c r="B51" s="21">
        <v>45952</v>
      </c>
      <c r="C51" s="3" t="s">
        <v>32</v>
      </c>
      <c r="D51" s="4" t="s">
        <v>38</v>
      </c>
      <c r="E51" s="5">
        <v>10</v>
      </c>
      <c r="F51" s="5">
        <v>0</v>
      </c>
      <c r="G51" s="6" t="s">
        <v>26</v>
      </c>
      <c r="H51" s="5" t="s">
        <v>16</v>
      </c>
      <c r="I51" s="5" t="s">
        <v>16</v>
      </c>
      <c r="J51" s="7" t="s">
        <v>17</v>
      </c>
      <c r="K51" s="14">
        <v>9.2916666666666661</v>
      </c>
      <c r="L51" s="14">
        <v>10.708333333333334</v>
      </c>
      <c r="M51" s="33" t="s">
        <v>27</v>
      </c>
      <c r="N51" s="15">
        <f>(L1063-K1063)-TIME(9,0,0)</f>
        <v>-0.375</v>
      </c>
      <c r="O51" s="22">
        <f>L51-K51</f>
        <v>1.4166666666666679</v>
      </c>
    </row>
    <row r="52" spans="2:15" ht="15.75" thickBot="1" x14ac:dyDescent="0.3">
      <c r="B52" s="21">
        <v>45952</v>
      </c>
      <c r="C52" s="23" t="s">
        <v>32</v>
      </c>
      <c r="D52" s="4" t="s">
        <v>38</v>
      </c>
      <c r="E52" s="24">
        <v>0</v>
      </c>
      <c r="F52" s="24">
        <v>0</v>
      </c>
      <c r="G52" s="25" t="s">
        <v>20</v>
      </c>
      <c r="H52" s="24" t="s">
        <v>16</v>
      </c>
      <c r="I52" s="24" t="s">
        <v>16</v>
      </c>
      <c r="J52" s="26"/>
      <c r="K52" s="27"/>
      <c r="L52" s="27"/>
      <c r="M52" s="34" t="s">
        <v>19</v>
      </c>
      <c r="N52" s="29"/>
      <c r="O52" s="30"/>
    </row>
    <row r="53" spans="2:15" ht="15.75" x14ac:dyDescent="0.25">
      <c r="B53" s="99" t="s">
        <v>31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"/>
      <c r="O53" s="20"/>
    </row>
    <row r="54" spans="2:15" x14ac:dyDescent="0.25">
      <c r="B54" s="91" t="s">
        <v>1</v>
      </c>
      <c r="C54" s="85" t="s">
        <v>2</v>
      </c>
      <c r="D54" s="85" t="s">
        <v>3</v>
      </c>
      <c r="E54" s="89" t="s">
        <v>4</v>
      </c>
      <c r="F54" s="90"/>
      <c r="G54" s="87" t="s">
        <v>5</v>
      </c>
      <c r="H54" s="83" t="s">
        <v>6</v>
      </c>
      <c r="I54" s="87" t="s">
        <v>7</v>
      </c>
      <c r="J54" s="87" t="s">
        <v>8</v>
      </c>
      <c r="K54" s="85" t="s">
        <v>9</v>
      </c>
      <c r="L54" s="85" t="s">
        <v>10</v>
      </c>
      <c r="M54" s="83" t="s">
        <v>11</v>
      </c>
      <c r="N54" s="83" t="s">
        <v>12</v>
      </c>
      <c r="O54" s="81" t="s">
        <v>13</v>
      </c>
    </row>
    <row r="55" spans="2:15" x14ac:dyDescent="0.25">
      <c r="B55" s="92"/>
      <c r="C55" s="86"/>
      <c r="D55" s="86"/>
      <c r="E55" s="2" t="s">
        <v>14</v>
      </c>
      <c r="F55" s="2" t="s">
        <v>15</v>
      </c>
      <c r="G55" s="88"/>
      <c r="H55" s="84"/>
      <c r="I55" s="88"/>
      <c r="J55" s="88"/>
      <c r="K55" s="86"/>
      <c r="L55" s="86"/>
      <c r="M55" s="84"/>
      <c r="N55" s="84"/>
      <c r="O55" s="82"/>
    </row>
    <row r="56" spans="2:15" x14ac:dyDescent="0.25">
      <c r="B56" s="21">
        <v>45953</v>
      </c>
      <c r="C56" s="3" t="s">
        <v>32</v>
      </c>
      <c r="D56" s="4" t="s">
        <v>38</v>
      </c>
      <c r="E56" s="5">
        <v>14</v>
      </c>
      <c r="F56" s="5">
        <v>0</v>
      </c>
      <c r="G56" s="6" t="s">
        <v>26</v>
      </c>
      <c r="H56" s="5" t="s">
        <v>16</v>
      </c>
      <c r="I56" s="5" t="s">
        <v>16</v>
      </c>
      <c r="J56" s="7" t="s">
        <v>17</v>
      </c>
      <c r="K56" s="14">
        <v>9.2916666666666661</v>
      </c>
      <c r="L56" s="14">
        <v>10.875</v>
      </c>
      <c r="M56" s="33" t="s">
        <v>28</v>
      </c>
      <c r="N56" s="15">
        <f>(L1068-K1068)-TIME(9,0,0)</f>
        <v>-0.375</v>
      </c>
      <c r="O56" s="22">
        <f>L56-K56</f>
        <v>1.5833333333333339</v>
      </c>
    </row>
    <row r="57" spans="2:15" ht="15.75" thickBot="1" x14ac:dyDescent="0.3">
      <c r="B57" s="21">
        <v>45953</v>
      </c>
      <c r="C57" s="23" t="s">
        <v>32</v>
      </c>
      <c r="D57" s="4" t="s">
        <v>38</v>
      </c>
      <c r="E57" s="24">
        <v>0</v>
      </c>
      <c r="F57" s="24">
        <v>0</v>
      </c>
      <c r="G57" s="25" t="s">
        <v>20</v>
      </c>
      <c r="H57" s="24" t="s">
        <v>16</v>
      </c>
      <c r="I57" s="24" t="s">
        <v>16</v>
      </c>
      <c r="J57" s="26"/>
      <c r="K57" s="27"/>
      <c r="L57" s="27"/>
      <c r="M57" s="34" t="s">
        <v>19</v>
      </c>
      <c r="N57" s="29"/>
      <c r="O57" s="30"/>
    </row>
    <row r="58" spans="2:15" ht="15.75" x14ac:dyDescent="0.25">
      <c r="B58" s="99" t="s">
        <v>31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"/>
      <c r="O58" s="20"/>
    </row>
    <row r="59" spans="2:15" x14ac:dyDescent="0.25">
      <c r="B59" s="91" t="s">
        <v>1</v>
      </c>
      <c r="C59" s="85" t="s">
        <v>2</v>
      </c>
      <c r="D59" s="85" t="s">
        <v>3</v>
      </c>
      <c r="E59" s="89" t="s">
        <v>4</v>
      </c>
      <c r="F59" s="90"/>
      <c r="G59" s="87" t="s">
        <v>5</v>
      </c>
      <c r="H59" s="83" t="s">
        <v>6</v>
      </c>
      <c r="I59" s="87" t="s">
        <v>7</v>
      </c>
      <c r="J59" s="87" t="s">
        <v>8</v>
      </c>
      <c r="K59" s="85" t="s">
        <v>9</v>
      </c>
      <c r="L59" s="85" t="s">
        <v>10</v>
      </c>
      <c r="M59" s="83" t="s">
        <v>11</v>
      </c>
      <c r="N59" s="83" t="s">
        <v>12</v>
      </c>
      <c r="O59" s="81" t="s">
        <v>13</v>
      </c>
    </row>
    <row r="60" spans="2:15" x14ac:dyDescent="0.25">
      <c r="B60" s="92"/>
      <c r="C60" s="86"/>
      <c r="D60" s="86"/>
      <c r="E60" s="2" t="s">
        <v>14</v>
      </c>
      <c r="F60" s="2" t="s">
        <v>15</v>
      </c>
      <c r="G60" s="88"/>
      <c r="H60" s="84"/>
      <c r="I60" s="88"/>
      <c r="J60" s="88"/>
      <c r="K60" s="86"/>
      <c r="L60" s="86"/>
      <c r="M60" s="84"/>
      <c r="N60" s="84"/>
      <c r="O60" s="82"/>
    </row>
    <row r="61" spans="2:15" x14ac:dyDescent="0.25">
      <c r="B61" s="21">
        <v>45954</v>
      </c>
      <c r="C61" s="3" t="s">
        <v>32</v>
      </c>
      <c r="D61" s="4" t="s">
        <v>38</v>
      </c>
      <c r="E61" s="5">
        <v>14</v>
      </c>
      <c r="F61" s="5">
        <v>0</v>
      </c>
      <c r="G61" s="6" t="s">
        <v>26</v>
      </c>
      <c r="H61" s="5" t="s">
        <v>16</v>
      </c>
      <c r="I61" s="5" t="s">
        <v>16</v>
      </c>
      <c r="J61" s="7" t="s">
        <v>17</v>
      </c>
      <c r="K61" s="14">
        <v>9.2916666666666661</v>
      </c>
      <c r="L61" s="14">
        <v>10.958333333333334</v>
      </c>
      <c r="M61" s="33" t="s">
        <v>29</v>
      </c>
      <c r="N61" s="15">
        <f>(L1073-K1073)-TIME(9,0,0)</f>
        <v>-0.375</v>
      </c>
      <c r="O61" s="22">
        <f>L61-K61</f>
        <v>1.6666666666666679</v>
      </c>
    </row>
    <row r="62" spans="2:15" ht="15.75" thickBot="1" x14ac:dyDescent="0.3">
      <c r="B62" s="21">
        <v>45954</v>
      </c>
      <c r="C62" s="23" t="s">
        <v>32</v>
      </c>
      <c r="D62" s="4" t="s">
        <v>38</v>
      </c>
      <c r="E62" s="24">
        <v>0</v>
      </c>
      <c r="F62" s="24">
        <v>0</v>
      </c>
      <c r="G62" s="25" t="s">
        <v>20</v>
      </c>
      <c r="H62" s="24" t="s">
        <v>16</v>
      </c>
      <c r="I62" s="24" t="s">
        <v>16</v>
      </c>
      <c r="J62" s="26"/>
      <c r="K62" s="27"/>
      <c r="L62" s="27"/>
      <c r="M62" s="34" t="s">
        <v>19</v>
      </c>
      <c r="N62" s="29"/>
      <c r="O62" s="30"/>
    </row>
    <row r="63" spans="2:15" ht="15.75" x14ac:dyDescent="0.25">
      <c r="B63" s="99" t="s">
        <v>31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"/>
      <c r="O63" s="20"/>
    </row>
    <row r="64" spans="2:15" x14ac:dyDescent="0.25">
      <c r="B64" s="91" t="s">
        <v>1</v>
      </c>
      <c r="C64" s="85" t="s">
        <v>2</v>
      </c>
      <c r="D64" s="85" t="s">
        <v>3</v>
      </c>
      <c r="E64" s="89" t="s">
        <v>4</v>
      </c>
      <c r="F64" s="90"/>
      <c r="G64" s="87" t="s">
        <v>5</v>
      </c>
      <c r="H64" s="83" t="s">
        <v>6</v>
      </c>
      <c r="I64" s="87" t="s">
        <v>7</v>
      </c>
      <c r="J64" s="87" t="s">
        <v>8</v>
      </c>
      <c r="K64" s="85" t="s">
        <v>9</v>
      </c>
      <c r="L64" s="85" t="s">
        <v>10</v>
      </c>
      <c r="M64" s="83" t="s">
        <v>11</v>
      </c>
      <c r="N64" s="83" t="s">
        <v>12</v>
      </c>
      <c r="O64" s="81" t="s">
        <v>13</v>
      </c>
    </row>
    <row r="65" spans="2:17" x14ac:dyDescent="0.25">
      <c r="B65" s="92"/>
      <c r="C65" s="86"/>
      <c r="D65" s="86"/>
      <c r="E65" s="2" t="s">
        <v>14</v>
      </c>
      <c r="F65" s="2" t="s">
        <v>15</v>
      </c>
      <c r="G65" s="88"/>
      <c r="H65" s="84"/>
      <c r="I65" s="88"/>
      <c r="J65" s="88"/>
      <c r="K65" s="86"/>
      <c r="L65" s="86"/>
      <c r="M65" s="84"/>
      <c r="N65" s="84"/>
      <c r="O65" s="82"/>
    </row>
    <row r="66" spans="2:17" x14ac:dyDescent="0.25">
      <c r="B66" s="21">
        <v>45955</v>
      </c>
      <c r="C66" s="3" t="s">
        <v>32</v>
      </c>
      <c r="D66" s="4" t="s">
        <v>38</v>
      </c>
      <c r="E66" s="5">
        <v>14</v>
      </c>
      <c r="F66" s="5">
        <v>0</v>
      </c>
      <c r="G66" s="6" t="s">
        <v>26</v>
      </c>
      <c r="H66" s="5" t="s">
        <v>16</v>
      </c>
      <c r="I66" s="5" t="s">
        <v>16</v>
      </c>
      <c r="J66" s="7" t="s">
        <v>17</v>
      </c>
      <c r="K66" s="14">
        <v>9.2916666666666661</v>
      </c>
      <c r="L66" s="14">
        <v>10.958333333333334</v>
      </c>
      <c r="M66" s="33" t="s">
        <v>22</v>
      </c>
      <c r="N66" s="15">
        <f>(L1078-K1078)-TIME(9,0,0)</f>
        <v>-0.375</v>
      </c>
      <c r="O66" s="22">
        <f>L66-K66</f>
        <v>1.6666666666666679</v>
      </c>
    </row>
    <row r="67" spans="2:17" ht="15.75" thickBot="1" x14ac:dyDescent="0.3">
      <c r="B67" s="21">
        <v>45955</v>
      </c>
      <c r="C67" s="23" t="s">
        <v>32</v>
      </c>
      <c r="D67" s="4" t="s">
        <v>38</v>
      </c>
      <c r="E67" s="24">
        <v>0</v>
      </c>
      <c r="F67" s="24">
        <v>0</v>
      </c>
      <c r="G67" s="25" t="s">
        <v>20</v>
      </c>
      <c r="H67" s="24" t="s">
        <v>16</v>
      </c>
      <c r="I67" s="24" t="s">
        <v>16</v>
      </c>
      <c r="J67" s="26"/>
      <c r="K67" s="27"/>
      <c r="L67" s="27"/>
      <c r="M67" s="34" t="s">
        <v>19</v>
      </c>
      <c r="N67" s="29"/>
      <c r="O67" s="30"/>
    </row>
    <row r="68" spans="2:17" ht="15.75" x14ac:dyDescent="0.25">
      <c r="B68" s="99" t="s">
        <v>31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"/>
      <c r="O68" s="20"/>
    </row>
    <row r="69" spans="2:17" x14ac:dyDescent="0.25">
      <c r="B69" s="91" t="s">
        <v>1</v>
      </c>
      <c r="C69" s="85" t="s">
        <v>2</v>
      </c>
      <c r="D69" s="85" t="s">
        <v>3</v>
      </c>
      <c r="E69" s="89" t="s">
        <v>4</v>
      </c>
      <c r="F69" s="90"/>
      <c r="G69" s="87" t="s">
        <v>5</v>
      </c>
      <c r="H69" s="83" t="s">
        <v>6</v>
      </c>
      <c r="I69" s="87" t="s">
        <v>7</v>
      </c>
      <c r="J69" s="87" t="s">
        <v>8</v>
      </c>
      <c r="K69" s="85" t="s">
        <v>9</v>
      </c>
      <c r="L69" s="85" t="s">
        <v>10</v>
      </c>
      <c r="M69" s="83" t="s">
        <v>11</v>
      </c>
      <c r="N69" s="83" t="s">
        <v>12</v>
      </c>
      <c r="O69" s="81" t="s">
        <v>13</v>
      </c>
      <c r="P69" s="2" t="s">
        <v>14</v>
      </c>
      <c r="Q69" s="2" t="s">
        <v>15</v>
      </c>
    </row>
    <row r="70" spans="2:17" x14ac:dyDescent="0.25">
      <c r="B70" s="92"/>
      <c r="C70" s="86"/>
      <c r="D70" s="86"/>
      <c r="E70" s="2" t="s">
        <v>14</v>
      </c>
      <c r="F70" s="2" t="s">
        <v>15</v>
      </c>
      <c r="G70" s="88"/>
      <c r="H70" s="84"/>
      <c r="I70" s="88"/>
      <c r="J70" s="88"/>
      <c r="K70" s="86"/>
      <c r="L70" s="86"/>
      <c r="M70" s="84"/>
      <c r="N70" s="84"/>
      <c r="O70" s="82"/>
      <c r="P70" s="45">
        <f>SUM(E71,E66,E61,E56,E51,E46,E41,E36,E31,E26,E21,E16)</f>
        <v>163</v>
      </c>
      <c r="Q70" s="45">
        <f>SUM(F71,F66,F61,F56,F51,F46,F41,F36,F31,F26,F21,F16)</f>
        <v>60</v>
      </c>
    </row>
    <row r="71" spans="2:17" x14ac:dyDescent="0.25">
      <c r="B71" s="21">
        <v>45956</v>
      </c>
      <c r="C71" s="3" t="s">
        <v>32</v>
      </c>
      <c r="D71" s="4" t="s">
        <v>38</v>
      </c>
      <c r="E71" s="5">
        <v>14</v>
      </c>
      <c r="F71" s="5">
        <v>0</v>
      </c>
      <c r="G71" s="6" t="s">
        <v>26</v>
      </c>
      <c r="H71" s="5" t="s">
        <v>16</v>
      </c>
      <c r="I71" s="5" t="s">
        <v>16</v>
      </c>
      <c r="J71" s="7" t="s">
        <v>17</v>
      </c>
      <c r="K71" s="14">
        <v>9.2916666666666661</v>
      </c>
      <c r="L71" s="14">
        <v>10.833333333333334</v>
      </c>
      <c r="M71" s="33" t="s">
        <v>23</v>
      </c>
      <c r="N71" s="15">
        <f>(L1083-K1083)-TIME(9,0,0)</f>
        <v>-0.375</v>
      </c>
      <c r="O71" s="22">
        <f>L71-K71</f>
        <v>1.5416666666666679</v>
      </c>
      <c r="P71" s="46"/>
      <c r="Q71" s="46">
        <f>Q70/60</f>
        <v>1</v>
      </c>
    </row>
    <row r="72" spans="2:17" ht="15.75" thickBot="1" x14ac:dyDescent="0.3">
      <c r="B72" s="21">
        <v>45956</v>
      </c>
      <c r="C72" s="23" t="s">
        <v>32</v>
      </c>
      <c r="D72" s="4" t="s">
        <v>38</v>
      </c>
      <c r="E72" s="24">
        <v>0</v>
      </c>
      <c r="F72" s="24">
        <v>0</v>
      </c>
      <c r="G72" s="25" t="s">
        <v>20</v>
      </c>
      <c r="H72" s="24" t="s">
        <v>16</v>
      </c>
      <c r="I72" s="24" t="s">
        <v>16</v>
      </c>
      <c r="J72" s="26"/>
      <c r="K72" s="27"/>
      <c r="L72" s="27"/>
      <c r="M72" s="34" t="s">
        <v>19</v>
      </c>
      <c r="N72" s="29"/>
      <c r="O72" s="30"/>
      <c r="P72" s="13" t="s">
        <v>21</v>
      </c>
      <c r="Q72" s="13">
        <f>P70+Q71</f>
        <v>164</v>
      </c>
    </row>
    <row r="73" spans="2:17" ht="61.5" x14ac:dyDescent="0.25">
      <c r="B73" s="78" t="s">
        <v>39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80"/>
    </row>
    <row r="74" spans="2:17" ht="15.75" x14ac:dyDescent="0.25">
      <c r="B74" s="76" t="s">
        <v>31</v>
      </c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1"/>
      <c r="O74" s="20"/>
    </row>
    <row r="75" spans="2:17" x14ac:dyDescent="0.25">
      <c r="B75" s="91" t="s">
        <v>1</v>
      </c>
      <c r="C75" s="85" t="s">
        <v>2</v>
      </c>
      <c r="D75" s="85" t="s">
        <v>3</v>
      </c>
      <c r="E75" s="89" t="s">
        <v>4</v>
      </c>
      <c r="F75" s="90"/>
      <c r="G75" s="87" t="s">
        <v>5</v>
      </c>
      <c r="H75" s="83" t="s">
        <v>6</v>
      </c>
      <c r="I75" s="87" t="s">
        <v>7</v>
      </c>
      <c r="J75" s="87" t="s">
        <v>8</v>
      </c>
      <c r="K75" s="85" t="s">
        <v>9</v>
      </c>
      <c r="L75" s="85" t="s">
        <v>10</v>
      </c>
      <c r="M75" s="83" t="s">
        <v>11</v>
      </c>
      <c r="N75" s="83" t="s">
        <v>12</v>
      </c>
      <c r="O75" s="81" t="s">
        <v>13</v>
      </c>
    </row>
    <row r="76" spans="2:17" x14ac:dyDescent="0.25">
      <c r="B76" s="92"/>
      <c r="C76" s="86"/>
      <c r="D76" s="86"/>
      <c r="E76" s="2" t="s">
        <v>14</v>
      </c>
      <c r="F76" s="2" t="s">
        <v>15</v>
      </c>
      <c r="G76" s="88"/>
      <c r="H76" s="84"/>
      <c r="I76" s="88"/>
      <c r="J76" s="88"/>
      <c r="K76" s="86"/>
      <c r="L76" s="86"/>
      <c r="M76" s="84"/>
      <c r="N76" s="84"/>
      <c r="O76" s="82"/>
    </row>
    <row r="77" spans="2:17" x14ac:dyDescent="0.25">
      <c r="B77" s="21">
        <v>45962</v>
      </c>
      <c r="C77" s="3" t="s">
        <v>32</v>
      </c>
      <c r="D77" s="4" t="s">
        <v>38</v>
      </c>
      <c r="E77" s="5">
        <v>14</v>
      </c>
      <c r="F77" s="5">
        <v>0</v>
      </c>
      <c r="G77" s="6" t="s">
        <v>26</v>
      </c>
      <c r="H77" s="5" t="s">
        <v>16</v>
      </c>
      <c r="I77" s="5" t="s">
        <v>16</v>
      </c>
      <c r="J77" s="7" t="s">
        <v>17</v>
      </c>
      <c r="K77" s="14">
        <v>9.2916666666666661</v>
      </c>
      <c r="L77" s="14">
        <v>10.833333333333334</v>
      </c>
      <c r="M77" s="33" t="s">
        <v>23</v>
      </c>
      <c r="N77" s="15">
        <f>(L1089-K1089)-TIME(9,0,0)</f>
        <v>-0.375</v>
      </c>
      <c r="O77" s="22">
        <f>L77-K77</f>
        <v>1.5416666666666679</v>
      </c>
    </row>
    <row r="78" spans="2:17" ht="15.75" thickBot="1" x14ac:dyDescent="0.3">
      <c r="B78" s="21">
        <v>45962</v>
      </c>
      <c r="C78" s="23" t="s">
        <v>32</v>
      </c>
      <c r="D78" s="4" t="s">
        <v>38</v>
      </c>
      <c r="E78" s="24">
        <v>0</v>
      </c>
      <c r="F78" s="24">
        <v>0</v>
      </c>
      <c r="G78" s="25" t="s">
        <v>20</v>
      </c>
      <c r="H78" s="24" t="s">
        <v>16</v>
      </c>
      <c r="I78" s="24" t="s">
        <v>16</v>
      </c>
      <c r="J78" s="26"/>
      <c r="K78" s="27"/>
      <c r="L78" s="27"/>
      <c r="M78" s="34" t="s">
        <v>19</v>
      </c>
      <c r="N78" s="29"/>
      <c r="O78" s="30"/>
    </row>
    <row r="79" spans="2:17" ht="15.75" x14ac:dyDescent="0.25">
      <c r="B79" s="76" t="s">
        <v>31</v>
      </c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1"/>
      <c r="O79" s="20"/>
    </row>
    <row r="80" spans="2:17" x14ac:dyDescent="0.25">
      <c r="B80" s="91" t="s">
        <v>1</v>
      </c>
      <c r="C80" s="85" t="s">
        <v>2</v>
      </c>
      <c r="D80" s="85" t="s">
        <v>3</v>
      </c>
      <c r="E80" s="89" t="s">
        <v>4</v>
      </c>
      <c r="F80" s="90"/>
      <c r="G80" s="87" t="s">
        <v>5</v>
      </c>
      <c r="H80" s="83" t="s">
        <v>6</v>
      </c>
      <c r="I80" s="87" t="s">
        <v>7</v>
      </c>
      <c r="J80" s="87" t="s">
        <v>8</v>
      </c>
      <c r="K80" s="85" t="s">
        <v>9</v>
      </c>
      <c r="L80" s="85" t="s">
        <v>10</v>
      </c>
      <c r="M80" s="83" t="s">
        <v>11</v>
      </c>
      <c r="N80" s="83" t="s">
        <v>12</v>
      </c>
      <c r="O80" s="81" t="s">
        <v>13</v>
      </c>
    </row>
    <row r="81" spans="2:17" x14ac:dyDescent="0.25">
      <c r="B81" s="92"/>
      <c r="C81" s="86"/>
      <c r="D81" s="86"/>
      <c r="E81" s="2" t="s">
        <v>14</v>
      </c>
      <c r="F81" s="2" t="s">
        <v>15</v>
      </c>
      <c r="G81" s="88"/>
      <c r="H81" s="84"/>
      <c r="I81" s="88"/>
      <c r="J81" s="88"/>
      <c r="K81" s="86"/>
      <c r="L81" s="86"/>
      <c r="M81" s="84"/>
      <c r="N81" s="84"/>
      <c r="O81" s="82"/>
    </row>
    <row r="82" spans="2:17" x14ac:dyDescent="0.25">
      <c r="B82" s="21">
        <v>45964</v>
      </c>
      <c r="C82" s="3" t="s">
        <v>32</v>
      </c>
      <c r="D82" s="4" t="s">
        <v>38</v>
      </c>
      <c r="E82" s="5">
        <v>14</v>
      </c>
      <c r="F82" s="5">
        <v>0</v>
      </c>
      <c r="G82" s="6" t="s">
        <v>26</v>
      </c>
      <c r="H82" s="5" t="s">
        <v>16</v>
      </c>
      <c r="I82" s="5" t="s">
        <v>16</v>
      </c>
      <c r="J82" s="7" t="s">
        <v>17</v>
      </c>
      <c r="K82" s="14">
        <v>9.2916666666666661</v>
      </c>
      <c r="L82" s="14">
        <v>10.833333333333334</v>
      </c>
      <c r="M82" s="33" t="s">
        <v>23</v>
      </c>
      <c r="N82" s="15">
        <f>(L1094-K1094)-TIME(9,0,0)</f>
        <v>-0.375</v>
      </c>
      <c r="O82" s="22">
        <f>L82-K82</f>
        <v>1.5416666666666679</v>
      </c>
    </row>
    <row r="83" spans="2:17" ht="15.75" thickBot="1" x14ac:dyDescent="0.3">
      <c r="B83" s="21">
        <v>45964</v>
      </c>
      <c r="C83" s="23" t="s">
        <v>32</v>
      </c>
      <c r="D83" s="4" t="s">
        <v>38</v>
      </c>
      <c r="E83" s="24">
        <v>0</v>
      </c>
      <c r="F83" s="24">
        <v>0</v>
      </c>
      <c r="G83" s="25" t="s">
        <v>20</v>
      </c>
      <c r="H83" s="24" t="s">
        <v>16</v>
      </c>
      <c r="I83" s="24" t="s">
        <v>16</v>
      </c>
      <c r="J83" s="26"/>
      <c r="K83" s="27"/>
      <c r="L83" s="27"/>
      <c r="M83" s="34" t="s">
        <v>19</v>
      </c>
      <c r="N83" s="29"/>
      <c r="O83" s="30"/>
    </row>
    <row r="84" spans="2:17" ht="15.75" x14ac:dyDescent="0.25">
      <c r="B84" s="76" t="s">
        <v>31</v>
      </c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1"/>
      <c r="O84" s="20"/>
    </row>
    <row r="85" spans="2:17" x14ac:dyDescent="0.25">
      <c r="B85" s="91" t="s">
        <v>1</v>
      </c>
      <c r="C85" s="85" t="s">
        <v>2</v>
      </c>
      <c r="D85" s="85" t="s">
        <v>3</v>
      </c>
      <c r="E85" s="89" t="s">
        <v>4</v>
      </c>
      <c r="F85" s="90"/>
      <c r="G85" s="87" t="s">
        <v>5</v>
      </c>
      <c r="H85" s="83" t="s">
        <v>6</v>
      </c>
      <c r="I85" s="87" t="s">
        <v>7</v>
      </c>
      <c r="J85" s="87" t="s">
        <v>8</v>
      </c>
      <c r="K85" s="85" t="s">
        <v>9</v>
      </c>
      <c r="L85" s="85" t="s">
        <v>10</v>
      </c>
      <c r="M85" s="83" t="s">
        <v>11</v>
      </c>
      <c r="N85" s="83" t="s">
        <v>12</v>
      </c>
      <c r="O85" s="81" t="s">
        <v>13</v>
      </c>
    </row>
    <row r="86" spans="2:17" x14ac:dyDescent="0.25">
      <c r="B86" s="92"/>
      <c r="C86" s="86"/>
      <c r="D86" s="86"/>
      <c r="E86" s="2" t="s">
        <v>14</v>
      </c>
      <c r="F86" s="2" t="s">
        <v>15</v>
      </c>
      <c r="G86" s="88"/>
      <c r="H86" s="84"/>
      <c r="I86" s="88"/>
      <c r="J86" s="88"/>
      <c r="K86" s="86"/>
      <c r="L86" s="86"/>
      <c r="M86" s="84"/>
      <c r="N86" s="84"/>
      <c r="O86" s="82"/>
    </row>
    <row r="87" spans="2:17" x14ac:dyDescent="0.25">
      <c r="B87" s="21">
        <v>45965</v>
      </c>
      <c r="C87" s="3" t="s">
        <v>32</v>
      </c>
      <c r="D87" s="4" t="s">
        <v>38</v>
      </c>
      <c r="E87" s="5">
        <v>14</v>
      </c>
      <c r="F87" s="5">
        <v>0</v>
      </c>
      <c r="G87" s="6" t="s">
        <v>26</v>
      </c>
      <c r="H87" s="5" t="s">
        <v>16</v>
      </c>
      <c r="I87" s="5" t="s">
        <v>16</v>
      </c>
      <c r="J87" s="7" t="s">
        <v>17</v>
      </c>
      <c r="K87" s="14">
        <v>9.2916666666666661</v>
      </c>
      <c r="L87" s="14">
        <v>10.833333333333334</v>
      </c>
      <c r="M87" s="33" t="s">
        <v>23</v>
      </c>
      <c r="N87" s="15">
        <f>(L1099-K1099)-TIME(9,0,0)</f>
        <v>-0.375</v>
      </c>
      <c r="O87" s="22">
        <f>L87-K87</f>
        <v>1.5416666666666679</v>
      </c>
    </row>
    <row r="88" spans="2:17" ht="15.75" thickBot="1" x14ac:dyDescent="0.3">
      <c r="B88" s="21">
        <v>45965</v>
      </c>
      <c r="C88" s="23" t="s">
        <v>32</v>
      </c>
      <c r="D88" s="4" t="s">
        <v>38</v>
      </c>
      <c r="E88" s="24">
        <v>0</v>
      </c>
      <c r="F88" s="24">
        <v>0</v>
      </c>
      <c r="G88" s="25" t="s">
        <v>20</v>
      </c>
      <c r="H88" s="24" t="s">
        <v>16</v>
      </c>
      <c r="I88" s="24" t="s">
        <v>16</v>
      </c>
      <c r="J88" s="26"/>
      <c r="K88" s="27"/>
      <c r="L88" s="27"/>
      <c r="M88" s="34" t="s">
        <v>19</v>
      </c>
      <c r="N88" s="29"/>
      <c r="O88" s="30"/>
    </row>
    <row r="89" spans="2:17" ht="15.75" x14ac:dyDescent="0.25">
      <c r="B89" s="76" t="s">
        <v>31</v>
      </c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1"/>
      <c r="O89" s="20"/>
    </row>
    <row r="90" spans="2:17" x14ac:dyDescent="0.25">
      <c r="B90" s="91" t="s">
        <v>1</v>
      </c>
      <c r="C90" s="85" t="s">
        <v>2</v>
      </c>
      <c r="D90" s="85" t="s">
        <v>3</v>
      </c>
      <c r="E90" s="89" t="s">
        <v>4</v>
      </c>
      <c r="F90" s="90"/>
      <c r="G90" s="87" t="s">
        <v>5</v>
      </c>
      <c r="H90" s="83" t="s">
        <v>6</v>
      </c>
      <c r="I90" s="87" t="s">
        <v>7</v>
      </c>
      <c r="J90" s="87" t="s">
        <v>8</v>
      </c>
      <c r="K90" s="85" t="s">
        <v>9</v>
      </c>
      <c r="L90" s="85" t="s">
        <v>10</v>
      </c>
      <c r="M90" s="83" t="s">
        <v>11</v>
      </c>
      <c r="N90" s="83" t="s">
        <v>12</v>
      </c>
      <c r="O90" s="81" t="s">
        <v>13</v>
      </c>
      <c r="P90" s="2" t="s">
        <v>14</v>
      </c>
      <c r="Q90" s="2" t="s">
        <v>15</v>
      </c>
    </row>
    <row r="91" spans="2:17" x14ac:dyDescent="0.25">
      <c r="B91" s="92"/>
      <c r="C91" s="86"/>
      <c r="D91" s="86"/>
      <c r="E91" s="2" t="s">
        <v>14</v>
      </c>
      <c r="F91" s="2" t="s">
        <v>15</v>
      </c>
      <c r="G91" s="88"/>
      <c r="H91" s="84"/>
      <c r="I91" s="88"/>
      <c r="J91" s="88"/>
      <c r="K91" s="86"/>
      <c r="L91" s="86"/>
      <c r="M91" s="84"/>
      <c r="N91" s="84"/>
      <c r="O91" s="82"/>
      <c r="P91" s="45">
        <f>SUM(E87,E92,E82,E77)</f>
        <v>58</v>
      </c>
      <c r="Q91" s="45">
        <f>SUM(F87,F92,F82,F77)</f>
        <v>0</v>
      </c>
    </row>
    <row r="92" spans="2:17" x14ac:dyDescent="0.25">
      <c r="B92" s="21">
        <v>45971</v>
      </c>
      <c r="C92" s="3" t="s">
        <v>32</v>
      </c>
      <c r="D92" s="4" t="s">
        <v>38</v>
      </c>
      <c r="E92" s="5">
        <v>16</v>
      </c>
      <c r="F92" s="5">
        <v>0</v>
      </c>
      <c r="G92" s="6" t="s">
        <v>26</v>
      </c>
      <c r="H92" s="5" t="s">
        <v>16</v>
      </c>
      <c r="I92" s="5" t="s">
        <v>16</v>
      </c>
      <c r="J92" s="7" t="s">
        <v>17</v>
      </c>
      <c r="K92" s="14">
        <v>9.2916666666666661</v>
      </c>
      <c r="L92" s="14">
        <v>10.958333333333334</v>
      </c>
      <c r="M92" s="33" t="s">
        <v>24</v>
      </c>
      <c r="N92" s="15">
        <f>(L1104-K1104)-TIME(9,0,0)</f>
        <v>-0.375</v>
      </c>
      <c r="O92" s="22">
        <f>L92-K92</f>
        <v>1.6666666666666679</v>
      </c>
      <c r="P92" s="46"/>
      <c r="Q92" s="46">
        <f>Q91/60</f>
        <v>0</v>
      </c>
    </row>
    <row r="93" spans="2:17" ht="15.75" thickBot="1" x14ac:dyDescent="0.3">
      <c r="B93" s="21">
        <v>45971</v>
      </c>
      <c r="C93" s="23" t="s">
        <v>32</v>
      </c>
      <c r="D93" s="4" t="s">
        <v>38</v>
      </c>
      <c r="E93" s="24">
        <v>0</v>
      </c>
      <c r="F93" s="24">
        <v>0</v>
      </c>
      <c r="G93" s="25" t="s">
        <v>20</v>
      </c>
      <c r="H93" s="24" t="s">
        <v>16</v>
      </c>
      <c r="I93" s="24" t="s">
        <v>16</v>
      </c>
      <c r="J93" s="26"/>
      <c r="K93" s="27"/>
      <c r="L93" s="27"/>
      <c r="M93" s="34" t="s">
        <v>19</v>
      </c>
      <c r="N93" s="29"/>
      <c r="O93" s="30"/>
      <c r="P93" s="13" t="s">
        <v>21</v>
      </c>
      <c r="Q93" s="13">
        <f>P91+Q92</f>
        <v>58</v>
      </c>
    </row>
    <row r="94" spans="2:17" ht="61.5" x14ac:dyDescent="0.25">
      <c r="B94" s="78" t="s">
        <v>47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80"/>
    </row>
    <row r="95" spans="2:17" ht="15.75" x14ac:dyDescent="0.25">
      <c r="B95" s="76" t="s">
        <v>31</v>
      </c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1"/>
      <c r="O95" s="20"/>
    </row>
    <row r="96" spans="2:17" x14ac:dyDescent="0.25">
      <c r="B96" s="91" t="s">
        <v>1</v>
      </c>
      <c r="C96" s="85" t="s">
        <v>2</v>
      </c>
      <c r="D96" s="85" t="s">
        <v>3</v>
      </c>
      <c r="E96" s="89" t="s">
        <v>4</v>
      </c>
      <c r="F96" s="90"/>
      <c r="G96" s="87" t="s">
        <v>5</v>
      </c>
      <c r="H96" s="83" t="s">
        <v>6</v>
      </c>
      <c r="I96" s="87" t="s">
        <v>7</v>
      </c>
      <c r="J96" s="87" t="s">
        <v>8</v>
      </c>
      <c r="K96" s="85" t="s">
        <v>9</v>
      </c>
      <c r="L96" s="85" t="s">
        <v>10</v>
      </c>
      <c r="M96" s="83" t="s">
        <v>11</v>
      </c>
      <c r="N96" s="83" t="s">
        <v>12</v>
      </c>
      <c r="O96" s="81" t="s">
        <v>13</v>
      </c>
    </row>
    <row r="97" spans="2:15" x14ac:dyDescent="0.25">
      <c r="B97" s="92"/>
      <c r="C97" s="86"/>
      <c r="D97" s="86"/>
      <c r="E97" s="2" t="s">
        <v>14</v>
      </c>
      <c r="F97" s="2" t="s">
        <v>15</v>
      </c>
      <c r="G97" s="88"/>
      <c r="H97" s="84"/>
      <c r="I97" s="88"/>
      <c r="J97" s="88"/>
      <c r="K97" s="86"/>
      <c r="L97" s="86"/>
      <c r="M97" s="84"/>
      <c r="N97" s="84"/>
      <c r="O97" s="82"/>
    </row>
    <row r="98" spans="2:15" x14ac:dyDescent="0.25">
      <c r="B98" s="21">
        <v>45992</v>
      </c>
      <c r="C98" s="3" t="s">
        <v>32</v>
      </c>
      <c r="D98" s="4" t="s">
        <v>38</v>
      </c>
      <c r="E98" s="5">
        <v>7</v>
      </c>
      <c r="F98" s="5">
        <v>0</v>
      </c>
      <c r="G98" s="6" t="s">
        <v>26</v>
      </c>
      <c r="H98" s="5" t="s">
        <v>16</v>
      </c>
      <c r="I98" s="5" t="s">
        <v>16</v>
      </c>
      <c r="J98" s="7" t="s">
        <v>17</v>
      </c>
      <c r="K98" s="14">
        <v>9.2916666666666661</v>
      </c>
      <c r="L98" s="14">
        <v>10.583333333333334</v>
      </c>
      <c r="M98" s="33" t="s">
        <v>24</v>
      </c>
      <c r="N98" s="15">
        <f>(L1110-K1110)-TIME(9,0,0)</f>
        <v>-0.375</v>
      </c>
      <c r="O98" s="22">
        <f>L98-K98</f>
        <v>1.2916666666666679</v>
      </c>
    </row>
    <row r="99" spans="2:15" ht="15.75" thickBot="1" x14ac:dyDescent="0.3">
      <c r="B99" s="21">
        <v>45992</v>
      </c>
      <c r="C99" s="23" t="s">
        <v>32</v>
      </c>
      <c r="D99" s="4" t="s">
        <v>38</v>
      </c>
      <c r="E99" s="24">
        <v>0</v>
      </c>
      <c r="F99" s="24">
        <v>0</v>
      </c>
      <c r="G99" s="25" t="s">
        <v>20</v>
      </c>
      <c r="H99" s="24" t="s">
        <v>16</v>
      </c>
      <c r="I99" s="24" t="s">
        <v>16</v>
      </c>
      <c r="J99" s="26"/>
      <c r="K99" s="27"/>
      <c r="L99" s="27"/>
      <c r="M99" s="34" t="s">
        <v>19</v>
      </c>
      <c r="N99" s="29"/>
      <c r="O99" s="30"/>
    </row>
    <row r="100" spans="2:15" ht="15.75" x14ac:dyDescent="0.25">
      <c r="B100" s="76" t="s">
        <v>31</v>
      </c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1"/>
      <c r="O100" s="20"/>
    </row>
    <row r="101" spans="2:15" x14ac:dyDescent="0.25">
      <c r="B101" s="91" t="s">
        <v>1</v>
      </c>
      <c r="C101" s="85" t="s">
        <v>2</v>
      </c>
      <c r="D101" s="85" t="s">
        <v>3</v>
      </c>
      <c r="E101" s="89" t="s">
        <v>4</v>
      </c>
      <c r="F101" s="90"/>
      <c r="G101" s="87" t="s">
        <v>5</v>
      </c>
      <c r="H101" s="83" t="s">
        <v>6</v>
      </c>
      <c r="I101" s="87" t="s">
        <v>7</v>
      </c>
      <c r="J101" s="87" t="s">
        <v>8</v>
      </c>
      <c r="K101" s="85" t="s">
        <v>9</v>
      </c>
      <c r="L101" s="85" t="s">
        <v>10</v>
      </c>
      <c r="M101" s="83" t="s">
        <v>11</v>
      </c>
      <c r="N101" s="83" t="s">
        <v>12</v>
      </c>
      <c r="O101" s="81" t="s">
        <v>13</v>
      </c>
    </row>
    <row r="102" spans="2:15" x14ac:dyDescent="0.25">
      <c r="B102" s="92"/>
      <c r="C102" s="86"/>
      <c r="D102" s="86"/>
      <c r="E102" s="2" t="s">
        <v>14</v>
      </c>
      <c r="F102" s="2" t="s">
        <v>15</v>
      </c>
      <c r="G102" s="88"/>
      <c r="H102" s="84"/>
      <c r="I102" s="88"/>
      <c r="J102" s="88"/>
      <c r="K102" s="86"/>
      <c r="L102" s="86"/>
      <c r="M102" s="84"/>
      <c r="N102" s="84"/>
      <c r="O102" s="82"/>
    </row>
    <row r="103" spans="2:15" x14ac:dyDescent="0.25">
      <c r="B103" s="21">
        <v>45993</v>
      </c>
      <c r="C103" s="3" t="s">
        <v>32</v>
      </c>
      <c r="D103" s="4" t="s">
        <v>38</v>
      </c>
      <c r="E103" s="5">
        <v>7</v>
      </c>
      <c r="F103" s="5">
        <v>0</v>
      </c>
      <c r="G103" s="6" t="s">
        <v>26</v>
      </c>
      <c r="H103" s="5" t="s">
        <v>16</v>
      </c>
      <c r="I103" s="5" t="s">
        <v>16</v>
      </c>
      <c r="J103" s="7" t="s">
        <v>17</v>
      </c>
      <c r="K103" s="14">
        <v>9.2916666666666661</v>
      </c>
      <c r="L103" s="14">
        <v>10.583333333333334</v>
      </c>
      <c r="M103" s="33" t="s">
        <v>18</v>
      </c>
      <c r="N103" s="15">
        <f>(L1115-K1115)-TIME(9,0,0)</f>
        <v>-0.375</v>
      </c>
      <c r="O103" s="22">
        <f>L103-K103</f>
        <v>1.2916666666666679</v>
      </c>
    </row>
    <row r="104" spans="2:15" ht="15.75" thickBot="1" x14ac:dyDescent="0.3">
      <c r="B104" s="21">
        <v>45993</v>
      </c>
      <c r="C104" s="23" t="s">
        <v>32</v>
      </c>
      <c r="D104" s="4" t="s">
        <v>38</v>
      </c>
      <c r="E104" s="24">
        <v>0</v>
      </c>
      <c r="F104" s="24">
        <v>0</v>
      </c>
      <c r="G104" s="25" t="s">
        <v>20</v>
      </c>
      <c r="H104" s="24" t="s">
        <v>16</v>
      </c>
      <c r="I104" s="24" t="s">
        <v>16</v>
      </c>
      <c r="J104" s="26"/>
      <c r="K104" s="27"/>
      <c r="L104" s="27"/>
      <c r="M104" s="34" t="s">
        <v>19</v>
      </c>
      <c r="N104" s="29"/>
      <c r="O104" s="30"/>
    </row>
    <row r="105" spans="2:15" ht="15.75" x14ac:dyDescent="0.25">
      <c r="B105" s="76" t="s">
        <v>31</v>
      </c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1"/>
      <c r="O105" s="20"/>
    </row>
    <row r="106" spans="2:15" x14ac:dyDescent="0.25">
      <c r="B106" s="91" t="s">
        <v>1</v>
      </c>
      <c r="C106" s="85" t="s">
        <v>2</v>
      </c>
      <c r="D106" s="85" t="s">
        <v>3</v>
      </c>
      <c r="E106" s="89" t="s">
        <v>4</v>
      </c>
      <c r="F106" s="90"/>
      <c r="G106" s="87" t="s">
        <v>5</v>
      </c>
      <c r="H106" s="83" t="s">
        <v>6</v>
      </c>
      <c r="I106" s="87" t="s">
        <v>7</v>
      </c>
      <c r="J106" s="87" t="s">
        <v>8</v>
      </c>
      <c r="K106" s="85" t="s">
        <v>9</v>
      </c>
      <c r="L106" s="85" t="s">
        <v>10</v>
      </c>
      <c r="M106" s="83" t="s">
        <v>11</v>
      </c>
      <c r="N106" s="83" t="s">
        <v>12</v>
      </c>
      <c r="O106" s="81" t="s">
        <v>13</v>
      </c>
    </row>
    <row r="107" spans="2:15" x14ac:dyDescent="0.25">
      <c r="B107" s="92"/>
      <c r="C107" s="86"/>
      <c r="D107" s="86"/>
      <c r="E107" s="2" t="s">
        <v>14</v>
      </c>
      <c r="F107" s="2" t="s">
        <v>15</v>
      </c>
      <c r="G107" s="88"/>
      <c r="H107" s="84"/>
      <c r="I107" s="88"/>
      <c r="J107" s="88"/>
      <c r="K107" s="86"/>
      <c r="L107" s="86"/>
      <c r="M107" s="84"/>
      <c r="N107" s="84"/>
      <c r="O107" s="82"/>
    </row>
    <row r="108" spans="2:15" x14ac:dyDescent="0.25">
      <c r="B108" s="21">
        <v>45994</v>
      </c>
      <c r="C108" s="3" t="s">
        <v>32</v>
      </c>
      <c r="D108" s="4" t="s">
        <v>38</v>
      </c>
      <c r="E108" s="5">
        <v>4</v>
      </c>
      <c r="F108" s="5">
        <v>0</v>
      </c>
      <c r="G108" s="6" t="s">
        <v>26</v>
      </c>
      <c r="H108" s="5" t="s">
        <v>16</v>
      </c>
      <c r="I108" s="5" t="s">
        <v>16</v>
      </c>
      <c r="J108" s="7" t="s">
        <v>17</v>
      </c>
      <c r="K108" s="14">
        <v>9.5</v>
      </c>
      <c r="L108" s="14">
        <v>10.666666666666666</v>
      </c>
      <c r="M108" s="33" t="s">
        <v>27</v>
      </c>
      <c r="N108" s="15">
        <f>(L1120-K1120)-TIME(9,0,0)</f>
        <v>-0.375</v>
      </c>
      <c r="O108" s="22">
        <f>L108-K108</f>
        <v>1.1666666666666661</v>
      </c>
    </row>
    <row r="109" spans="2:15" ht="15.75" thickBot="1" x14ac:dyDescent="0.3">
      <c r="B109" s="21">
        <v>45994</v>
      </c>
      <c r="C109" s="23" t="s">
        <v>32</v>
      </c>
      <c r="D109" s="4" t="s">
        <v>38</v>
      </c>
      <c r="E109" s="24">
        <v>0</v>
      </c>
      <c r="F109" s="24">
        <v>0</v>
      </c>
      <c r="G109" s="25" t="s">
        <v>20</v>
      </c>
      <c r="H109" s="24" t="s">
        <v>16</v>
      </c>
      <c r="I109" s="24" t="s">
        <v>16</v>
      </c>
      <c r="J109" s="26"/>
      <c r="K109" s="27"/>
      <c r="L109" s="27"/>
      <c r="M109" s="34" t="s">
        <v>19</v>
      </c>
      <c r="N109" s="29"/>
      <c r="O109" s="30"/>
    </row>
    <row r="110" spans="2:15" ht="15.75" x14ac:dyDescent="0.25">
      <c r="B110" s="76" t="s">
        <v>31</v>
      </c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1"/>
      <c r="O110" s="20"/>
    </row>
    <row r="111" spans="2:15" x14ac:dyDescent="0.25">
      <c r="B111" s="91" t="s">
        <v>1</v>
      </c>
      <c r="C111" s="85" t="s">
        <v>2</v>
      </c>
      <c r="D111" s="85" t="s">
        <v>3</v>
      </c>
      <c r="E111" s="89" t="s">
        <v>4</v>
      </c>
      <c r="F111" s="90"/>
      <c r="G111" s="87" t="s">
        <v>5</v>
      </c>
      <c r="H111" s="83" t="s">
        <v>6</v>
      </c>
      <c r="I111" s="87" t="s">
        <v>7</v>
      </c>
      <c r="J111" s="87" t="s">
        <v>8</v>
      </c>
      <c r="K111" s="85" t="s">
        <v>9</v>
      </c>
      <c r="L111" s="85" t="s">
        <v>10</v>
      </c>
      <c r="M111" s="83" t="s">
        <v>11</v>
      </c>
      <c r="N111" s="83" t="s">
        <v>12</v>
      </c>
      <c r="O111" s="81" t="s">
        <v>13</v>
      </c>
    </row>
    <row r="112" spans="2:15" x14ac:dyDescent="0.25">
      <c r="B112" s="92"/>
      <c r="C112" s="86"/>
      <c r="D112" s="86"/>
      <c r="E112" s="2" t="s">
        <v>14</v>
      </c>
      <c r="F112" s="2" t="s">
        <v>15</v>
      </c>
      <c r="G112" s="88"/>
      <c r="H112" s="84"/>
      <c r="I112" s="88"/>
      <c r="J112" s="88"/>
      <c r="K112" s="86"/>
      <c r="L112" s="86"/>
      <c r="M112" s="84"/>
      <c r="N112" s="84"/>
      <c r="O112" s="82"/>
    </row>
    <row r="113" spans="2:15" x14ac:dyDescent="0.25">
      <c r="B113" s="21">
        <v>45999</v>
      </c>
      <c r="C113" s="3" t="s">
        <v>32</v>
      </c>
      <c r="D113" s="4" t="s">
        <v>38</v>
      </c>
      <c r="E113" s="5">
        <v>14</v>
      </c>
      <c r="F113" s="5">
        <v>0</v>
      </c>
      <c r="G113" s="6" t="s">
        <v>26</v>
      </c>
      <c r="H113" s="5" t="s">
        <v>16</v>
      </c>
      <c r="I113" s="5" t="s">
        <v>16</v>
      </c>
      <c r="J113" s="7" t="s">
        <v>17</v>
      </c>
      <c r="K113" s="14">
        <v>9.2916666666666661</v>
      </c>
      <c r="L113" s="14">
        <v>10.875</v>
      </c>
      <c r="M113" s="33" t="s">
        <v>24</v>
      </c>
      <c r="N113" s="15">
        <f>(L1125-K1125)-TIME(9,0,0)</f>
        <v>-0.375</v>
      </c>
      <c r="O113" s="22">
        <f>L113-K113</f>
        <v>1.5833333333333339</v>
      </c>
    </row>
    <row r="114" spans="2:15" ht="15.75" thickBot="1" x14ac:dyDescent="0.3">
      <c r="B114" s="21">
        <v>45999</v>
      </c>
      <c r="C114" s="23" t="s">
        <v>32</v>
      </c>
      <c r="D114" s="4" t="s">
        <v>38</v>
      </c>
      <c r="E114" s="24">
        <v>0</v>
      </c>
      <c r="F114" s="24">
        <v>0</v>
      </c>
      <c r="G114" s="25" t="s">
        <v>20</v>
      </c>
      <c r="H114" s="24" t="s">
        <v>16</v>
      </c>
      <c r="I114" s="24" t="s">
        <v>16</v>
      </c>
      <c r="J114" s="26"/>
      <c r="K114" s="27"/>
      <c r="L114" s="27"/>
      <c r="M114" s="34" t="s">
        <v>19</v>
      </c>
      <c r="N114" s="29"/>
      <c r="O114" s="30"/>
    </row>
    <row r="115" spans="2:15" ht="15.75" x14ac:dyDescent="0.25">
      <c r="B115" s="76" t="s">
        <v>31</v>
      </c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1"/>
      <c r="O115" s="20"/>
    </row>
    <row r="116" spans="2:15" x14ac:dyDescent="0.25">
      <c r="B116" s="91" t="s">
        <v>1</v>
      </c>
      <c r="C116" s="85" t="s">
        <v>2</v>
      </c>
      <c r="D116" s="85" t="s">
        <v>3</v>
      </c>
      <c r="E116" s="89" t="s">
        <v>4</v>
      </c>
      <c r="F116" s="90"/>
      <c r="G116" s="87" t="s">
        <v>5</v>
      </c>
      <c r="H116" s="83" t="s">
        <v>6</v>
      </c>
      <c r="I116" s="87" t="s">
        <v>7</v>
      </c>
      <c r="J116" s="87" t="s">
        <v>8</v>
      </c>
      <c r="K116" s="85" t="s">
        <v>9</v>
      </c>
      <c r="L116" s="85" t="s">
        <v>10</v>
      </c>
      <c r="M116" s="83" t="s">
        <v>11</v>
      </c>
      <c r="N116" s="83" t="s">
        <v>12</v>
      </c>
      <c r="O116" s="81" t="s">
        <v>13</v>
      </c>
    </row>
    <row r="117" spans="2:15" x14ac:dyDescent="0.25">
      <c r="B117" s="92"/>
      <c r="C117" s="86"/>
      <c r="D117" s="86"/>
      <c r="E117" s="2" t="s">
        <v>14</v>
      </c>
      <c r="F117" s="2" t="s">
        <v>15</v>
      </c>
      <c r="G117" s="88"/>
      <c r="H117" s="84"/>
      <c r="I117" s="88"/>
      <c r="J117" s="88"/>
      <c r="K117" s="86"/>
      <c r="L117" s="86"/>
      <c r="M117" s="84"/>
      <c r="N117" s="84"/>
      <c r="O117" s="82"/>
    </row>
    <row r="118" spans="2:15" x14ac:dyDescent="0.25">
      <c r="B118" s="21">
        <v>46000</v>
      </c>
      <c r="C118" s="3" t="s">
        <v>32</v>
      </c>
      <c r="D118" s="4" t="s">
        <v>38</v>
      </c>
      <c r="E118" s="5">
        <v>7</v>
      </c>
      <c r="F118" s="5">
        <v>0</v>
      </c>
      <c r="G118" s="6" t="s">
        <v>26</v>
      </c>
      <c r="H118" s="5" t="s">
        <v>16</v>
      </c>
      <c r="I118" s="5" t="s">
        <v>16</v>
      </c>
      <c r="J118" s="7" t="s">
        <v>17</v>
      </c>
      <c r="K118" s="14">
        <v>9.2916666666666661</v>
      </c>
      <c r="L118" s="14">
        <v>10.583333333333334</v>
      </c>
      <c r="M118" s="33" t="s">
        <v>18</v>
      </c>
      <c r="N118" s="15">
        <f>(L1130-K1130)-TIME(9,0,0)</f>
        <v>-0.375</v>
      </c>
      <c r="O118" s="22">
        <f>L118-K118</f>
        <v>1.2916666666666679</v>
      </c>
    </row>
    <row r="119" spans="2:15" ht="15.75" thickBot="1" x14ac:dyDescent="0.3">
      <c r="B119" s="21">
        <v>46000</v>
      </c>
      <c r="C119" s="23" t="s">
        <v>32</v>
      </c>
      <c r="D119" s="4" t="s">
        <v>38</v>
      </c>
      <c r="E119" s="24">
        <v>0</v>
      </c>
      <c r="F119" s="24">
        <v>0</v>
      </c>
      <c r="G119" s="25" t="s">
        <v>20</v>
      </c>
      <c r="H119" s="24" t="s">
        <v>16</v>
      </c>
      <c r="I119" s="24" t="s">
        <v>16</v>
      </c>
      <c r="J119" s="26"/>
      <c r="K119" s="27"/>
      <c r="L119" s="27"/>
      <c r="M119" s="34" t="s">
        <v>19</v>
      </c>
      <c r="N119" s="29"/>
      <c r="O119" s="30"/>
    </row>
    <row r="120" spans="2:15" ht="15.75" x14ac:dyDescent="0.25">
      <c r="B120" s="76" t="s">
        <v>51</v>
      </c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1"/>
      <c r="O120" s="20"/>
    </row>
    <row r="121" spans="2:15" ht="15.75" x14ac:dyDescent="0.25">
      <c r="B121" s="76" t="s">
        <v>31</v>
      </c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1"/>
      <c r="O121" s="20"/>
    </row>
    <row r="122" spans="2:15" x14ac:dyDescent="0.25">
      <c r="B122" s="57" t="s">
        <v>1</v>
      </c>
      <c r="C122" s="55" t="s">
        <v>2</v>
      </c>
      <c r="D122" s="55" t="s">
        <v>3</v>
      </c>
      <c r="E122" s="63" t="s">
        <v>4</v>
      </c>
      <c r="F122" s="64"/>
      <c r="G122" s="59" t="s">
        <v>5</v>
      </c>
      <c r="H122" s="61" t="s">
        <v>6</v>
      </c>
      <c r="I122" s="59" t="s">
        <v>7</v>
      </c>
      <c r="J122" s="59" t="s">
        <v>8</v>
      </c>
      <c r="K122" s="55" t="s">
        <v>9</v>
      </c>
      <c r="L122" s="55" t="s">
        <v>10</v>
      </c>
      <c r="M122" s="61" t="s">
        <v>11</v>
      </c>
      <c r="N122" s="61" t="s">
        <v>12</v>
      </c>
      <c r="O122" s="65" t="s">
        <v>13</v>
      </c>
    </row>
    <row r="123" spans="2:15" x14ac:dyDescent="0.25">
      <c r="B123" s="58"/>
      <c r="C123" s="56"/>
      <c r="D123" s="56"/>
      <c r="E123" s="2" t="s">
        <v>14</v>
      </c>
      <c r="F123" s="2" t="s">
        <v>15</v>
      </c>
      <c r="G123" s="60"/>
      <c r="H123" s="62"/>
      <c r="I123" s="60"/>
      <c r="J123" s="60"/>
      <c r="K123" s="56"/>
      <c r="L123" s="56"/>
      <c r="M123" s="62"/>
      <c r="N123" s="62"/>
      <c r="O123" s="66"/>
    </row>
    <row r="124" spans="2:15" x14ac:dyDescent="0.25">
      <c r="B124" s="21">
        <v>46013</v>
      </c>
      <c r="C124" s="3" t="s">
        <v>32</v>
      </c>
      <c r="D124" s="4" t="s">
        <v>38</v>
      </c>
      <c r="E124" s="5">
        <v>6</v>
      </c>
      <c r="F124" s="5">
        <v>30</v>
      </c>
      <c r="G124" s="6" t="s">
        <v>26</v>
      </c>
      <c r="H124" s="5" t="s">
        <v>16</v>
      </c>
      <c r="I124" s="5" t="s">
        <v>16</v>
      </c>
      <c r="J124" s="7" t="s">
        <v>17</v>
      </c>
      <c r="K124" s="14">
        <v>9.6041666666666661</v>
      </c>
      <c r="L124" s="14">
        <v>10.875</v>
      </c>
      <c r="M124" s="33" t="s">
        <v>24</v>
      </c>
      <c r="N124" s="15">
        <f>(L1136-K1136)-TIME(9,0,0)</f>
        <v>-0.375</v>
      </c>
      <c r="O124" s="22">
        <f>L124-K124</f>
        <v>1.2708333333333339</v>
      </c>
    </row>
    <row r="125" spans="2:15" ht="15.75" thickBot="1" x14ac:dyDescent="0.3">
      <c r="B125" s="21">
        <v>46013</v>
      </c>
      <c r="C125" s="23" t="s">
        <v>32</v>
      </c>
      <c r="D125" s="4" t="s">
        <v>38</v>
      </c>
      <c r="E125" s="24">
        <v>0</v>
      </c>
      <c r="F125" s="24">
        <v>0</v>
      </c>
      <c r="G125" s="25" t="s">
        <v>20</v>
      </c>
      <c r="H125" s="24" t="s">
        <v>16</v>
      </c>
      <c r="I125" s="24" t="s">
        <v>16</v>
      </c>
      <c r="J125" s="26"/>
      <c r="K125" s="27"/>
      <c r="L125" s="27"/>
      <c r="M125" s="34" t="s">
        <v>19</v>
      </c>
      <c r="N125" s="29"/>
      <c r="O125" s="30"/>
    </row>
    <row r="126" spans="2:15" ht="15.75" x14ac:dyDescent="0.25">
      <c r="B126" s="76" t="s">
        <v>31</v>
      </c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1"/>
      <c r="O126" s="20"/>
    </row>
    <row r="127" spans="2:15" x14ac:dyDescent="0.25">
      <c r="B127" s="57" t="s">
        <v>1</v>
      </c>
      <c r="C127" s="55" t="s">
        <v>2</v>
      </c>
      <c r="D127" s="55" t="s">
        <v>3</v>
      </c>
      <c r="E127" s="63" t="s">
        <v>4</v>
      </c>
      <c r="F127" s="64"/>
      <c r="G127" s="59" t="s">
        <v>5</v>
      </c>
      <c r="H127" s="61" t="s">
        <v>6</v>
      </c>
      <c r="I127" s="59" t="s">
        <v>7</v>
      </c>
      <c r="J127" s="59" t="s">
        <v>8</v>
      </c>
      <c r="K127" s="55" t="s">
        <v>9</v>
      </c>
      <c r="L127" s="55" t="s">
        <v>10</v>
      </c>
      <c r="M127" s="61" t="s">
        <v>11</v>
      </c>
      <c r="N127" s="61" t="s">
        <v>12</v>
      </c>
      <c r="O127" s="65" t="s">
        <v>13</v>
      </c>
    </row>
    <row r="128" spans="2:15" x14ac:dyDescent="0.25">
      <c r="B128" s="58"/>
      <c r="C128" s="56"/>
      <c r="D128" s="56"/>
      <c r="E128" s="2" t="s">
        <v>14</v>
      </c>
      <c r="F128" s="2" t="s">
        <v>15</v>
      </c>
      <c r="G128" s="60"/>
      <c r="H128" s="62"/>
      <c r="I128" s="60"/>
      <c r="J128" s="60"/>
      <c r="K128" s="56"/>
      <c r="L128" s="56"/>
      <c r="M128" s="62"/>
      <c r="N128" s="62"/>
      <c r="O128" s="66"/>
    </row>
    <row r="129" spans="2:15" x14ac:dyDescent="0.25">
      <c r="B129" s="21">
        <v>46014</v>
      </c>
      <c r="C129" s="3" t="s">
        <v>32</v>
      </c>
      <c r="D129" s="4" t="s">
        <v>38</v>
      </c>
      <c r="E129" s="5">
        <v>4</v>
      </c>
      <c r="F129" s="5">
        <v>0</v>
      </c>
      <c r="G129" s="6" t="s">
        <v>26</v>
      </c>
      <c r="H129" s="5" t="s">
        <v>16</v>
      </c>
      <c r="I129" s="5" t="s">
        <v>16</v>
      </c>
      <c r="J129" s="7" t="s">
        <v>17</v>
      </c>
      <c r="K129" s="14">
        <v>9.5833333333333339</v>
      </c>
      <c r="L129" s="14">
        <v>10.75</v>
      </c>
      <c r="M129" s="33" t="s">
        <v>18</v>
      </c>
      <c r="N129" s="15">
        <f>(L1141-K1141)-TIME(9,0,0)</f>
        <v>-0.375</v>
      </c>
      <c r="O129" s="22">
        <f>L129-K129</f>
        <v>1.1666666666666661</v>
      </c>
    </row>
    <row r="130" spans="2:15" ht="15.75" thickBot="1" x14ac:dyDescent="0.3">
      <c r="B130" s="21">
        <v>46014</v>
      </c>
      <c r="C130" s="23" t="s">
        <v>32</v>
      </c>
      <c r="D130" s="4" t="s">
        <v>38</v>
      </c>
      <c r="E130" s="24">
        <v>0</v>
      </c>
      <c r="F130" s="24">
        <v>0</v>
      </c>
      <c r="G130" s="25" t="s">
        <v>20</v>
      </c>
      <c r="H130" s="24" t="s">
        <v>16</v>
      </c>
      <c r="I130" s="24" t="s">
        <v>16</v>
      </c>
      <c r="J130" s="26"/>
      <c r="K130" s="27"/>
      <c r="L130" s="27"/>
      <c r="M130" s="34" t="s">
        <v>19</v>
      </c>
      <c r="N130" s="29"/>
      <c r="O130" s="30"/>
    </row>
    <row r="131" spans="2:15" ht="15.75" x14ac:dyDescent="0.25">
      <c r="B131" s="76" t="s">
        <v>31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1"/>
      <c r="O131" s="20"/>
    </row>
    <row r="132" spans="2:15" x14ac:dyDescent="0.25">
      <c r="B132" s="57" t="s">
        <v>1</v>
      </c>
      <c r="C132" s="55" t="s">
        <v>2</v>
      </c>
      <c r="D132" s="55" t="s">
        <v>3</v>
      </c>
      <c r="E132" s="63" t="s">
        <v>4</v>
      </c>
      <c r="F132" s="64"/>
      <c r="G132" s="59" t="s">
        <v>5</v>
      </c>
      <c r="H132" s="61" t="s">
        <v>6</v>
      </c>
      <c r="I132" s="59" t="s">
        <v>7</v>
      </c>
      <c r="J132" s="59" t="s">
        <v>8</v>
      </c>
      <c r="K132" s="55" t="s">
        <v>9</v>
      </c>
      <c r="L132" s="55" t="s">
        <v>10</v>
      </c>
      <c r="M132" s="61" t="s">
        <v>11</v>
      </c>
      <c r="N132" s="61" t="s">
        <v>12</v>
      </c>
      <c r="O132" s="65" t="s">
        <v>13</v>
      </c>
    </row>
    <row r="133" spans="2:15" x14ac:dyDescent="0.25">
      <c r="B133" s="58"/>
      <c r="C133" s="56"/>
      <c r="D133" s="56"/>
      <c r="E133" s="2" t="s">
        <v>14</v>
      </c>
      <c r="F133" s="2" t="s">
        <v>15</v>
      </c>
      <c r="G133" s="60"/>
      <c r="H133" s="62"/>
      <c r="I133" s="60"/>
      <c r="J133" s="60"/>
      <c r="K133" s="56"/>
      <c r="L133" s="56"/>
      <c r="M133" s="62"/>
      <c r="N133" s="62"/>
      <c r="O133" s="66"/>
    </row>
    <row r="134" spans="2:15" x14ac:dyDescent="0.25">
      <c r="B134" s="21">
        <v>46016</v>
      </c>
      <c r="C134" s="3" t="s">
        <v>32</v>
      </c>
      <c r="D134" s="4" t="s">
        <v>38</v>
      </c>
      <c r="E134" s="5">
        <v>9</v>
      </c>
      <c r="F134" s="5">
        <v>0</v>
      </c>
      <c r="G134" s="6" t="s">
        <v>26</v>
      </c>
      <c r="H134" s="5" t="s">
        <v>16</v>
      </c>
      <c r="I134" s="5" t="s">
        <v>16</v>
      </c>
      <c r="J134" s="7" t="s">
        <v>17</v>
      </c>
      <c r="K134" s="14">
        <v>9.3333333333333339</v>
      </c>
      <c r="L134" s="14">
        <v>10.708333333333334</v>
      </c>
      <c r="M134" s="33" t="s">
        <v>28</v>
      </c>
      <c r="N134" s="15">
        <f>(L1146-K1146)-TIME(9,0,0)</f>
        <v>-0.375</v>
      </c>
      <c r="O134" s="22">
        <f>L134-K134</f>
        <v>1.375</v>
      </c>
    </row>
    <row r="135" spans="2:15" ht="15.75" thickBot="1" x14ac:dyDescent="0.3">
      <c r="B135" s="21">
        <v>46016</v>
      </c>
      <c r="C135" s="23" t="s">
        <v>32</v>
      </c>
      <c r="D135" s="4" t="s">
        <v>38</v>
      </c>
      <c r="E135" s="24">
        <v>0</v>
      </c>
      <c r="F135" s="24">
        <v>0</v>
      </c>
      <c r="G135" s="25" t="s">
        <v>20</v>
      </c>
      <c r="H135" s="24" t="s">
        <v>16</v>
      </c>
      <c r="I135" s="24" t="s">
        <v>16</v>
      </c>
      <c r="J135" s="26"/>
      <c r="K135" s="27"/>
      <c r="L135" s="27"/>
      <c r="M135" s="34" t="s">
        <v>19</v>
      </c>
      <c r="N135" s="29"/>
      <c r="O135" s="30"/>
    </row>
    <row r="136" spans="2:15" ht="15.75" x14ac:dyDescent="0.25">
      <c r="B136" s="76" t="s">
        <v>31</v>
      </c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1"/>
      <c r="O136" s="20"/>
    </row>
    <row r="137" spans="2:15" x14ac:dyDescent="0.25">
      <c r="B137" s="57" t="s">
        <v>1</v>
      </c>
      <c r="C137" s="55" t="s">
        <v>2</v>
      </c>
      <c r="D137" s="55" t="s">
        <v>3</v>
      </c>
      <c r="E137" s="63" t="s">
        <v>4</v>
      </c>
      <c r="F137" s="64"/>
      <c r="G137" s="59" t="s">
        <v>5</v>
      </c>
      <c r="H137" s="61" t="s">
        <v>6</v>
      </c>
      <c r="I137" s="59" t="s">
        <v>7</v>
      </c>
      <c r="J137" s="59" t="s">
        <v>8</v>
      </c>
      <c r="K137" s="55" t="s">
        <v>9</v>
      </c>
      <c r="L137" s="55" t="s">
        <v>10</v>
      </c>
      <c r="M137" s="61" t="s">
        <v>11</v>
      </c>
      <c r="N137" s="61" t="s">
        <v>12</v>
      </c>
      <c r="O137" s="65" t="s">
        <v>13</v>
      </c>
    </row>
    <row r="138" spans="2:15" x14ac:dyDescent="0.25">
      <c r="B138" s="58"/>
      <c r="C138" s="56"/>
      <c r="D138" s="56"/>
      <c r="E138" s="2" t="s">
        <v>14</v>
      </c>
      <c r="F138" s="2" t="s">
        <v>15</v>
      </c>
      <c r="G138" s="60"/>
      <c r="H138" s="62"/>
      <c r="I138" s="60"/>
      <c r="J138" s="60"/>
      <c r="K138" s="56"/>
      <c r="L138" s="56"/>
      <c r="M138" s="62"/>
      <c r="N138" s="62"/>
      <c r="O138" s="66"/>
    </row>
    <row r="139" spans="2:15" x14ac:dyDescent="0.25">
      <c r="B139" s="21">
        <v>46018</v>
      </c>
      <c r="C139" s="3" t="s">
        <v>32</v>
      </c>
      <c r="D139" s="4" t="s">
        <v>38</v>
      </c>
      <c r="E139" s="5">
        <v>7</v>
      </c>
      <c r="F139" s="5">
        <v>30</v>
      </c>
      <c r="G139" s="6" t="s">
        <v>26</v>
      </c>
      <c r="H139" s="5" t="s">
        <v>16</v>
      </c>
      <c r="I139" s="5" t="s">
        <v>16</v>
      </c>
      <c r="J139" s="7" t="s">
        <v>17</v>
      </c>
      <c r="K139" s="14">
        <v>9.3333333333333339</v>
      </c>
      <c r="L139" s="14">
        <v>10.645833333333334</v>
      </c>
      <c r="M139" s="33" t="s">
        <v>22</v>
      </c>
      <c r="N139" s="15">
        <f>(L1151-K1151)-TIME(9,0,0)</f>
        <v>-0.375</v>
      </c>
      <c r="O139" s="22">
        <f>L139-K139</f>
        <v>1.3125</v>
      </c>
    </row>
    <row r="140" spans="2:15" ht="15.75" thickBot="1" x14ac:dyDescent="0.3">
      <c r="B140" s="21">
        <v>46018</v>
      </c>
      <c r="C140" s="23" t="s">
        <v>32</v>
      </c>
      <c r="D140" s="4" t="s">
        <v>38</v>
      </c>
      <c r="E140" s="24">
        <v>0</v>
      </c>
      <c r="F140" s="24">
        <v>0</v>
      </c>
      <c r="G140" s="25" t="s">
        <v>20</v>
      </c>
      <c r="H140" s="24" t="s">
        <v>16</v>
      </c>
      <c r="I140" s="24" t="s">
        <v>16</v>
      </c>
      <c r="J140" s="26"/>
      <c r="K140" s="27"/>
      <c r="L140" s="27"/>
      <c r="M140" s="34" t="s">
        <v>19</v>
      </c>
      <c r="N140" s="29"/>
      <c r="O140" s="30"/>
    </row>
    <row r="141" spans="2:15" ht="15.75" x14ac:dyDescent="0.25">
      <c r="B141" s="76" t="s">
        <v>31</v>
      </c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1"/>
      <c r="O141" s="20"/>
    </row>
    <row r="142" spans="2:15" x14ac:dyDescent="0.25">
      <c r="B142" s="57" t="s">
        <v>1</v>
      </c>
      <c r="C142" s="55" t="s">
        <v>2</v>
      </c>
      <c r="D142" s="55" t="s">
        <v>3</v>
      </c>
      <c r="E142" s="63" t="s">
        <v>4</v>
      </c>
      <c r="F142" s="64"/>
      <c r="G142" s="59" t="s">
        <v>5</v>
      </c>
      <c r="H142" s="61" t="s">
        <v>6</v>
      </c>
      <c r="I142" s="59" t="s">
        <v>7</v>
      </c>
      <c r="J142" s="59" t="s">
        <v>8</v>
      </c>
      <c r="K142" s="55" t="s">
        <v>9</v>
      </c>
      <c r="L142" s="55" t="s">
        <v>10</v>
      </c>
      <c r="M142" s="61" t="s">
        <v>11</v>
      </c>
      <c r="N142" s="61" t="s">
        <v>12</v>
      </c>
      <c r="O142" s="65" t="s">
        <v>13</v>
      </c>
    </row>
    <row r="143" spans="2:15" x14ac:dyDescent="0.25">
      <c r="B143" s="58"/>
      <c r="C143" s="56"/>
      <c r="D143" s="56"/>
      <c r="E143" s="2" t="s">
        <v>14</v>
      </c>
      <c r="F143" s="2" t="s">
        <v>15</v>
      </c>
      <c r="G143" s="60"/>
      <c r="H143" s="62"/>
      <c r="I143" s="60"/>
      <c r="J143" s="60"/>
      <c r="K143" s="56"/>
      <c r="L143" s="56"/>
      <c r="M143" s="62"/>
      <c r="N143" s="62"/>
      <c r="O143" s="66"/>
    </row>
    <row r="144" spans="2:15" x14ac:dyDescent="0.25">
      <c r="B144" s="21">
        <v>46021</v>
      </c>
      <c r="C144" s="3" t="s">
        <v>32</v>
      </c>
      <c r="D144" s="4" t="s">
        <v>38</v>
      </c>
      <c r="E144" s="5">
        <v>3</v>
      </c>
      <c r="F144" s="5">
        <v>15</v>
      </c>
      <c r="G144" s="6" t="s">
        <v>26</v>
      </c>
      <c r="H144" s="5" t="s">
        <v>16</v>
      </c>
      <c r="I144" s="5" t="s">
        <v>16</v>
      </c>
      <c r="J144" s="7" t="s">
        <v>17</v>
      </c>
      <c r="K144" s="14">
        <v>9.6041666666666661</v>
      </c>
      <c r="L144" s="14">
        <v>10.739583333333334</v>
      </c>
      <c r="M144" s="33" t="s">
        <v>18</v>
      </c>
      <c r="N144" s="15">
        <f>(L1156-K1156)-TIME(9,0,0)</f>
        <v>-0.375</v>
      </c>
      <c r="O144" s="22">
        <f>L144-K144</f>
        <v>1.1354166666666679</v>
      </c>
    </row>
    <row r="145" spans="2:17" ht="15.75" thickBot="1" x14ac:dyDescent="0.3">
      <c r="B145" s="21">
        <v>46021</v>
      </c>
      <c r="C145" s="23" t="s">
        <v>32</v>
      </c>
      <c r="D145" s="4" t="s">
        <v>38</v>
      </c>
      <c r="E145" s="24">
        <v>0</v>
      </c>
      <c r="F145" s="24">
        <v>0</v>
      </c>
      <c r="G145" s="25" t="s">
        <v>20</v>
      </c>
      <c r="H145" s="24" t="s">
        <v>16</v>
      </c>
      <c r="I145" s="24" t="s">
        <v>16</v>
      </c>
      <c r="J145" s="26"/>
      <c r="K145" s="27"/>
      <c r="L145" s="27"/>
      <c r="M145" s="34" t="s">
        <v>19</v>
      </c>
      <c r="N145" s="29"/>
      <c r="O145" s="30"/>
    </row>
    <row r="146" spans="2:17" ht="15.75" x14ac:dyDescent="0.25">
      <c r="B146" s="76" t="s">
        <v>31</v>
      </c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1"/>
      <c r="O146" s="20"/>
    </row>
    <row r="147" spans="2:17" x14ac:dyDescent="0.25">
      <c r="B147" s="57" t="s">
        <v>1</v>
      </c>
      <c r="C147" s="55" t="s">
        <v>2</v>
      </c>
      <c r="D147" s="55" t="s">
        <v>3</v>
      </c>
      <c r="E147" s="63" t="s">
        <v>4</v>
      </c>
      <c r="F147" s="64"/>
      <c r="G147" s="59" t="s">
        <v>5</v>
      </c>
      <c r="H147" s="61" t="s">
        <v>6</v>
      </c>
      <c r="I147" s="59" t="s">
        <v>7</v>
      </c>
      <c r="J147" s="59" t="s">
        <v>8</v>
      </c>
      <c r="K147" s="55" t="s">
        <v>9</v>
      </c>
      <c r="L147" s="55" t="s">
        <v>10</v>
      </c>
      <c r="M147" s="61" t="s">
        <v>11</v>
      </c>
      <c r="N147" s="61" t="s">
        <v>12</v>
      </c>
      <c r="O147" s="65" t="s">
        <v>13</v>
      </c>
      <c r="P147" s="2" t="s">
        <v>14</v>
      </c>
      <c r="Q147" s="2" t="s">
        <v>15</v>
      </c>
    </row>
    <row r="148" spans="2:17" x14ac:dyDescent="0.25">
      <c r="B148" s="58"/>
      <c r="C148" s="56"/>
      <c r="D148" s="56"/>
      <c r="E148" s="2" t="s">
        <v>14</v>
      </c>
      <c r="F148" s="2" t="s">
        <v>15</v>
      </c>
      <c r="G148" s="60"/>
      <c r="H148" s="62"/>
      <c r="I148" s="60"/>
      <c r="J148" s="60"/>
      <c r="K148" s="56"/>
      <c r="L148" s="56"/>
      <c r="M148" s="62"/>
      <c r="N148" s="62"/>
      <c r="O148" s="66"/>
      <c r="P148" s="45">
        <f>SUM(E149:E150,E144:E145,E139:E140,E134:E135,E129:E130,E124:E125,E118:E119,E113:E114,E108:E109,E103:E104,E98:E99)</f>
        <v>71</v>
      </c>
      <c r="Q148" s="45">
        <f>SUM(F149:F150,F144:F145,F139:F140,F134:F135,F129:F130,F124:F125,F118:F119,F113:F114,F108:F109,F103:F104,F98:F99)</f>
        <v>90</v>
      </c>
    </row>
    <row r="149" spans="2:17" x14ac:dyDescent="0.25">
      <c r="B149" s="21">
        <v>46022</v>
      </c>
      <c r="C149" s="3" t="s">
        <v>32</v>
      </c>
      <c r="D149" s="4" t="s">
        <v>38</v>
      </c>
      <c r="E149" s="5">
        <v>3</v>
      </c>
      <c r="F149" s="5">
        <v>15</v>
      </c>
      <c r="G149" s="6" t="s">
        <v>26</v>
      </c>
      <c r="H149" s="5" t="s">
        <v>16</v>
      </c>
      <c r="I149" s="5" t="s">
        <v>16</v>
      </c>
      <c r="J149" s="7" t="s">
        <v>17</v>
      </c>
      <c r="K149" s="14">
        <v>9.3541666666666661</v>
      </c>
      <c r="L149" s="14">
        <v>10.614583333333334</v>
      </c>
      <c r="M149" s="33" t="s">
        <v>27</v>
      </c>
      <c r="N149" s="15">
        <f>(L1161-K1161)-TIME(9,0,0)</f>
        <v>-0.375</v>
      </c>
      <c r="O149" s="22">
        <f>L149-K149</f>
        <v>1.2604166666666679</v>
      </c>
      <c r="P149" s="46"/>
      <c r="Q149" s="46">
        <f>Q148/60</f>
        <v>1.5</v>
      </c>
    </row>
    <row r="150" spans="2:17" ht="15.75" thickBot="1" x14ac:dyDescent="0.3">
      <c r="B150" s="21">
        <v>46022</v>
      </c>
      <c r="C150" s="23" t="s">
        <v>32</v>
      </c>
      <c r="D150" s="4" t="s">
        <v>38</v>
      </c>
      <c r="E150" s="24">
        <v>0</v>
      </c>
      <c r="F150" s="24">
        <v>0</v>
      </c>
      <c r="G150" s="25" t="s">
        <v>20</v>
      </c>
      <c r="H150" s="24" t="s">
        <v>16</v>
      </c>
      <c r="I150" s="24" t="s">
        <v>16</v>
      </c>
      <c r="J150" s="26"/>
      <c r="K150" s="27"/>
      <c r="L150" s="27"/>
      <c r="M150" s="34" t="s">
        <v>19</v>
      </c>
      <c r="N150" s="29"/>
      <c r="O150" s="30"/>
      <c r="P150" s="13" t="s">
        <v>21</v>
      </c>
      <c r="Q150" s="13">
        <f>P148+Q149</f>
        <v>72.5</v>
      </c>
    </row>
    <row r="151" spans="2:17" x14ac:dyDescent="0.25">
      <c r="B151" s="8"/>
      <c r="C151" s="8"/>
      <c r="D151" s="9"/>
      <c r="E151" s="10">
        <f>SUM(E149:E150)</f>
        <v>3</v>
      </c>
      <c r="F151" s="10">
        <f>SUM(F149:F150)</f>
        <v>15</v>
      </c>
      <c r="G151" s="11"/>
      <c r="H151" s="11"/>
      <c r="I151" s="11"/>
      <c r="J151" s="11"/>
      <c r="K151" s="12"/>
      <c r="L151" s="12"/>
      <c r="M151" s="9"/>
      <c r="N151" s="9"/>
      <c r="O151" s="9"/>
    </row>
    <row r="152" spans="2:17" x14ac:dyDescent="0.25">
      <c r="B152" s="8"/>
      <c r="C152" s="8"/>
      <c r="D152" s="9"/>
      <c r="E152" s="11"/>
      <c r="F152" s="11">
        <f>F151/60</f>
        <v>0.25</v>
      </c>
      <c r="G152" s="11"/>
      <c r="H152" s="11"/>
      <c r="I152" s="11"/>
      <c r="J152" s="11"/>
      <c r="K152" s="12"/>
      <c r="L152" s="12"/>
      <c r="M152" s="9"/>
      <c r="N152" s="9"/>
      <c r="O152" s="41"/>
    </row>
    <row r="153" spans="2:17" x14ac:dyDescent="0.25">
      <c r="E153" s="13" t="s">
        <v>21</v>
      </c>
      <c r="F153" s="13">
        <f>E151+F152</f>
        <v>3.25</v>
      </c>
    </row>
  </sheetData>
  <mergeCells count="304">
    <mergeCell ref="B95:M95"/>
    <mergeCell ref="B94:O94"/>
    <mergeCell ref="O116:O117"/>
    <mergeCell ref="N116:N117"/>
    <mergeCell ref="M116:M117"/>
    <mergeCell ref="L116:L117"/>
    <mergeCell ref="K116:K117"/>
    <mergeCell ref="J116:J117"/>
    <mergeCell ref="I116:I117"/>
    <mergeCell ref="H116:H117"/>
    <mergeCell ref="G116:G117"/>
    <mergeCell ref="E116:F116"/>
    <mergeCell ref="D116:D117"/>
    <mergeCell ref="C116:C117"/>
    <mergeCell ref="B116:B117"/>
    <mergeCell ref="B115:M115"/>
    <mergeCell ref="B100:M100"/>
    <mergeCell ref="O96:O97"/>
    <mergeCell ref="N96:N97"/>
    <mergeCell ref="M96:M97"/>
    <mergeCell ref="L96:L97"/>
    <mergeCell ref="K96:K97"/>
    <mergeCell ref="J96:J97"/>
    <mergeCell ref="I96:I97"/>
    <mergeCell ref="H96:H97"/>
    <mergeCell ref="G96:G97"/>
    <mergeCell ref="E96:F96"/>
    <mergeCell ref="D96:D97"/>
    <mergeCell ref="C96:C97"/>
    <mergeCell ref="B96:B97"/>
    <mergeCell ref="B105:M105"/>
    <mergeCell ref="O101:O102"/>
    <mergeCell ref="N101:N102"/>
    <mergeCell ref="M101:M102"/>
    <mergeCell ref="L101:L102"/>
    <mergeCell ref="K101:K102"/>
    <mergeCell ref="J101:J102"/>
    <mergeCell ref="I101:I102"/>
    <mergeCell ref="H101:H102"/>
    <mergeCell ref="G101:G102"/>
    <mergeCell ref="E101:F101"/>
    <mergeCell ref="D101:D102"/>
    <mergeCell ref="C101:C102"/>
    <mergeCell ref="B101:B102"/>
    <mergeCell ref="D111:D112"/>
    <mergeCell ref="C111:C112"/>
    <mergeCell ref="B111:B112"/>
    <mergeCell ref="B110:M110"/>
    <mergeCell ref="O106:O107"/>
    <mergeCell ref="N106:N107"/>
    <mergeCell ref="M106:M107"/>
    <mergeCell ref="L106:L107"/>
    <mergeCell ref="K106:K107"/>
    <mergeCell ref="J106:J107"/>
    <mergeCell ref="I106:I107"/>
    <mergeCell ref="H106:H107"/>
    <mergeCell ref="G106:G107"/>
    <mergeCell ref="E106:F106"/>
    <mergeCell ref="D106:D107"/>
    <mergeCell ref="C106:C107"/>
    <mergeCell ref="B106:B107"/>
    <mergeCell ref="O111:O112"/>
    <mergeCell ref="N111:N112"/>
    <mergeCell ref="M111:M112"/>
    <mergeCell ref="L111:L112"/>
    <mergeCell ref="K111:K112"/>
    <mergeCell ref="J111:J112"/>
    <mergeCell ref="B84:M84"/>
    <mergeCell ref="O80:O81"/>
    <mergeCell ref="N80:N81"/>
    <mergeCell ref="M80:M81"/>
    <mergeCell ref="L80:L81"/>
    <mergeCell ref="K80:K81"/>
    <mergeCell ref="I111:I112"/>
    <mergeCell ref="H111:H112"/>
    <mergeCell ref="G111:G112"/>
    <mergeCell ref="E90:F90"/>
    <mergeCell ref="D90:D91"/>
    <mergeCell ref="C90:C91"/>
    <mergeCell ref="B90:B91"/>
    <mergeCell ref="B89:M89"/>
    <mergeCell ref="O90:O91"/>
    <mergeCell ref="N90:N91"/>
    <mergeCell ref="M90:M91"/>
    <mergeCell ref="L90:L91"/>
    <mergeCell ref="K90:K91"/>
    <mergeCell ref="J90:J91"/>
    <mergeCell ref="I90:I91"/>
    <mergeCell ref="H90:H91"/>
    <mergeCell ref="G90:G91"/>
    <mergeCell ref="E111:F111"/>
    <mergeCell ref="O85:O86"/>
    <mergeCell ref="N85:N86"/>
    <mergeCell ref="M85:M86"/>
    <mergeCell ref="L85:L86"/>
    <mergeCell ref="K85:K86"/>
    <mergeCell ref="J85:J86"/>
    <mergeCell ref="I85:I86"/>
    <mergeCell ref="H85:H86"/>
    <mergeCell ref="G85:G86"/>
    <mergeCell ref="I19:I20"/>
    <mergeCell ref="H19:H20"/>
    <mergeCell ref="G19:G20"/>
    <mergeCell ref="B12:O12"/>
    <mergeCell ref="B13:M13"/>
    <mergeCell ref="B14:B15"/>
    <mergeCell ref="C14:C15"/>
    <mergeCell ref="D14:D15"/>
    <mergeCell ref="E14:F14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E19:F19"/>
    <mergeCell ref="D19:D20"/>
    <mergeCell ref="C19:C20"/>
    <mergeCell ref="B19:B20"/>
    <mergeCell ref="B18:M18"/>
    <mergeCell ref="O24:O25"/>
    <mergeCell ref="N24:N25"/>
    <mergeCell ref="M24:M25"/>
    <mergeCell ref="L24:L25"/>
    <mergeCell ref="K24:K25"/>
    <mergeCell ref="J24:J25"/>
    <mergeCell ref="I24:I25"/>
    <mergeCell ref="H24:H25"/>
    <mergeCell ref="G24:G25"/>
    <mergeCell ref="E24:F24"/>
    <mergeCell ref="D24:D25"/>
    <mergeCell ref="C24:C25"/>
    <mergeCell ref="B24:B25"/>
    <mergeCell ref="B23:M23"/>
    <mergeCell ref="O19:O20"/>
    <mergeCell ref="N19:N20"/>
    <mergeCell ref="M19:M20"/>
    <mergeCell ref="L19:L20"/>
    <mergeCell ref="K19:K20"/>
    <mergeCell ref="J19:J20"/>
    <mergeCell ref="O29:O30"/>
    <mergeCell ref="N29:N30"/>
    <mergeCell ref="M29:M30"/>
    <mergeCell ref="L29:L30"/>
    <mergeCell ref="K29:K30"/>
    <mergeCell ref="J29:J30"/>
    <mergeCell ref="I29:I30"/>
    <mergeCell ref="H29:H30"/>
    <mergeCell ref="G29:G30"/>
    <mergeCell ref="D39:D40"/>
    <mergeCell ref="C39:C40"/>
    <mergeCell ref="B39:B40"/>
    <mergeCell ref="B38:M38"/>
    <mergeCell ref="O34:O35"/>
    <mergeCell ref="N34:N35"/>
    <mergeCell ref="M34:M35"/>
    <mergeCell ref="L34:L35"/>
    <mergeCell ref="K34:K35"/>
    <mergeCell ref="J34:J35"/>
    <mergeCell ref="I34:I35"/>
    <mergeCell ref="H34:H35"/>
    <mergeCell ref="G34:G35"/>
    <mergeCell ref="E29:F29"/>
    <mergeCell ref="D29:D30"/>
    <mergeCell ref="C29:C30"/>
    <mergeCell ref="B29:B30"/>
    <mergeCell ref="B28:M28"/>
    <mergeCell ref="E34:F34"/>
    <mergeCell ref="D34:D35"/>
    <mergeCell ref="C34:C35"/>
    <mergeCell ref="B34:B35"/>
    <mergeCell ref="B33:M33"/>
    <mergeCell ref="E44:F44"/>
    <mergeCell ref="D44:D45"/>
    <mergeCell ref="C44:C45"/>
    <mergeCell ref="B44:B45"/>
    <mergeCell ref="B43:M43"/>
    <mergeCell ref="O39:O40"/>
    <mergeCell ref="N39:N40"/>
    <mergeCell ref="M39:M40"/>
    <mergeCell ref="L39:L40"/>
    <mergeCell ref="K39:K40"/>
    <mergeCell ref="O44:O45"/>
    <mergeCell ref="N44:N45"/>
    <mergeCell ref="M44:M45"/>
    <mergeCell ref="L44:L45"/>
    <mergeCell ref="K44:K45"/>
    <mergeCell ref="J44:J45"/>
    <mergeCell ref="I44:I45"/>
    <mergeCell ref="H44:H45"/>
    <mergeCell ref="G44:G45"/>
    <mergeCell ref="J39:J40"/>
    <mergeCell ref="I39:I40"/>
    <mergeCell ref="H39:H40"/>
    <mergeCell ref="G39:G40"/>
    <mergeCell ref="E39:F39"/>
    <mergeCell ref="O49:O50"/>
    <mergeCell ref="N49:N50"/>
    <mergeCell ref="M49:M50"/>
    <mergeCell ref="L49:L50"/>
    <mergeCell ref="K49:K50"/>
    <mergeCell ref="J49:J50"/>
    <mergeCell ref="I49:I50"/>
    <mergeCell ref="H49:H50"/>
    <mergeCell ref="G49:G50"/>
    <mergeCell ref="D59:D60"/>
    <mergeCell ref="C59:C60"/>
    <mergeCell ref="B59:B60"/>
    <mergeCell ref="B58:M58"/>
    <mergeCell ref="O54:O55"/>
    <mergeCell ref="N54:N55"/>
    <mergeCell ref="M54:M55"/>
    <mergeCell ref="L54:L55"/>
    <mergeCell ref="K54:K55"/>
    <mergeCell ref="J54:J55"/>
    <mergeCell ref="I54:I55"/>
    <mergeCell ref="H54:H55"/>
    <mergeCell ref="G54:G55"/>
    <mergeCell ref="E49:F49"/>
    <mergeCell ref="D49:D50"/>
    <mergeCell ref="C49:C50"/>
    <mergeCell ref="B49:B50"/>
    <mergeCell ref="B48:M48"/>
    <mergeCell ref="E54:F54"/>
    <mergeCell ref="D54:D55"/>
    <mergeCell ref="C54:C55"/>
    <mergeCell ref="B54:B55"/>
    <mergeCell ref="B53:M53"/>
    <mergeCell ref="E64:F64"/>
    <mergeCell ref="D64:D65"/>
    <mergeCell ref="C64:C65"/>
    <mergeCell ref="B64:B65"/>
    <mergeCell ref="B63:M63"/>
    <mergeCell ref="O59:O60"/>
    <mergeCell ref="N59:N60"/>
    <mergeCell ref="M59:M60"/>
    <mergeCell ref="L59:L60"/>
    <mergeCell ref="K59:K60"/>
    <mergeCell ref="O64:O65"/>
    <mergeCell ref="N64:N65"/>
    <mergeCell ref="M64:M65"/>
    <mergeCell ref="L64:L65"/>
    <mergeCell ref="K64:K65"/>
    <mergeCell ref="J64:J65"/>
    <mergeCell ref="I64:I65"/>
    <mergeCell ref="H64:H65"/>
    <mergeCell ref="G64:G65"/>
    <mergeCell ref="J59:J60"/>
    <mergeCell ref="I59:I60"/>
    <mergeCell ref="H59:H60"/>
    <mergeCell ref="G59:G60"/>
    <mergeCell ref="E59:F59"/>
    <mergeCell ref="E69:F69"/>
    <mergeCell ref="D69:D70"/>
    <mergeCell ref="C69:C70"/>
    <mergeCell ref="B69:B70"/>
    <mergeCell ref="B68:M68"/>
    <mergeCell ref="O69:O70"/>
    <mergeCell ref="N69:N70"/>
    <mergeCell ref="M69:M70"/>
    <mergeCell ref="L69:L70"/>
    <mergeCell ref="K69:K70"/>
    <mergeCell ref="J69:J70"/>
    <mergeCell ref="I69:I70"/>
    <mergeCell ref="H69:H70"/>
    <mergeCell ref="G69:G70"/>
    <mergeCell ref="B74:M74"/>
    <mergeCell ref="B73:O73"/>
    <mergeCell ref="O75:O76"/>
    <mergeCell ref="N75:N76"/>
    <mergeCell ref="M75:M76"/>
    <mergeCell ref="L75:L76"/>
    <mergeCell ref="K75:K76"/>
    <mergeCell ref="J75:J76"/>
    <mergeCell ref="I75:I76"/>
    <mergeCell ref="H75:H76"/>
    <mergeCell ref="G75:G76"/>
    <mergeCell ref="B141:M141"/>
    <mergeCell ref="B146:M146"/>
    <mergeCell ref="B120:M120"/>
    <mergeCell ref="B121:M121"/>
    <mergeCell ref="B126:M126"/>
    <mergeCell ref="B131:M131"/>
    <mergeCell ref="B136:M136"/>
    <mergeCell ref="E75:F75"/>
    <mergeCell ref="D75:D76"/>
    <mergeCell ref="C75:C76"/>
    <mergeCell ref="B75:B76"/>
    <mergeCell ref="J80:J81"/>
    <mergeCell ref="I80:I81"/>
    <mergeCell ref="H80:H81"/>
    <mergeCell ref="G80:G81"/>
    <mergeCell ref="E80:F80"/>
    <mergeCell ref="D80:D81"/>
    <mergeCell ref="C80:C81"/>
    <mergeCell ref="B80:B81"/>
    <mergeCell ref="B79:M79"/>
    <mergeCell ref="E85:F85"/>
    <mergeCell ref="D85:D86"/>
    <mergeCell ref="C85:C86"/>
    <mergeCell ref="B85:B86"/>
  </mergeCells>
  <pageMargins left="0.25" right="0.25" top="0.75" bottom="0.75" header="0.3" footer="0.3"/>
  <pageSetup paperSize="9" scale="61" fitToHeight="0" orientation="portrait" r:id="rId1"/>
  <rowBreaks count="1" manualBreakCount="1">
    <brk id="74" min="1" max="14" man="1"/>
  </rowBreaks>
  <colBreaks count="1" manualBreakCount="1">
    <brk id="15" min="2" max="17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DB32-5D1E-47E1-959D-E60CC6EFE293}">
  <sheetPr>
    <tabColor rgb="FF00B050"/>
  </sheetPr>
  <dimension ref="B2:Q94"/>
  <sheetViews>
    <sheetView view="pageBreakPreview" topLeftCell="A70" zoomScale="85" zoomScaleNormal="85" zoomScaleSheetLayoutView="85" workbookViewId="0">
      <selection activeCell="F76" sqref="F76"/>
    </sheetView>
  </sheetViews>
  <sheetFormatPr defaultColWidth="23.5703125" defaultRowHeight="15" x14ac:dyDescent="0.25"/>
  <cols>
    <col min="2" max="2" width="19.42578125" style="48" customWidth="1"/>
    <col min="3" max="3" width="14.5703125" customWidth="1"/>
    <col min="4" max="4" width="35" customWidth="1"/>
    <col min="5" max="5" width="14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49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50" t="s">
        <v>42</v>
      </c>
      <c r="C4" s="106" t="s">
        <v>43</v>
      </c>
      <c r="D4" s="106"/>
      <c r="E4" s="32"/>
      <c r="O4" s="18"/>
    </row>
    <row r="5" spans="2:15" ht="20.25" x14ac:dyDescent="0.3">
      <c r="B5" s="50" t="s">
        <v>48</v>
      </c>
      <c r="C5" s="38"/>
      <c r="D5" s="38"/>
      <c r="E5" s="32"/>
      <c r="O5" s="18"/>
    </row>
    <row r="6" spans="2:15" ht="20.25" x14ac:dyDescent="0.3">
      <c r="B6" s="50" t="s">
        <v>46</v>
      </c>
      <c r="C6" s="38"/>
      <c r="D6" s="38"/>
      <c r="E6" s="71">
        <f>Q91</f>
        <v>92.916666666666671</v>
      </c>
      <c r="O6" s="18"/>
    </row>
    <row r="7" spans="2:15" ht="21" thickBot="1" x14ac:dyDescent="0.35">
      <c r="B7" s="51" t="s">
        <v>30</v>
      </c>
      <c r="C7" s="40"/>
      <c r="D7" s="40"/>
      <c r="E7" s="44">
        <f>E6</f>
        <v>92.916666666666671</v>
      </c>
      <c r="O7" s="18"/>
    </row>
    <row r="8" spans="2:15" x14ac:dyDescent="0.25">
      <c r="B8" s="52"/>
      <c r="O8" s="18"/>
    </row>
    <row r="9" spans="2:15" x14ac:dyDescent="0.25">
      <c r="B9" s="52"/>
      <c r="O9" s="18"/>
    </row>
    <row r="10" spans="2:15" ht="61.5" x14ac:dyDescent="0.25">
      <c r="B10" s="96" t="s">
        <v>47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8"/>
    </row>
    <row r="11" spans="2:15" ht="15.75" x14ac:dyDescent="0.25">
      <c r="B11" s="76" t="s">
        <v>57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1"/>
      <c r="O11" s="20"/>
    </row>
    <row r="12" spans="2:15" x14ac:dyDescent="0.25">
      <c r="B12" s="107" t="s">
        <v>1</v>
      </c>
      <c r="C12" s="85" t="s">
        <v>2</v>
      </c>
      <c r="D12" s="85" t="s">
        <v>3</v>
      </c>
      <c r="E12" s="89" t="s">
        <v>4</v>
      </c>
      <c r="F12" s="90"/>
      <c r="G12" s="87" t="s">
        <v>5</v>
      </c>
      <c r="H12" s="83" t="s">
        <v>6</v>
      </c>
      <c r="I12" s="87" t="s">
        <v>7</v>
      </c>
      <c r="J12" s="87" t="s">
        <v>8</v>
      </c>
      <c r="K12" s="85" t="s">
        <v>9</v>
      </c>
      <c r="L12" s="85" t="s">
        <v>10</v>
      </c>
      <c r="M12" s="83" t="s">
        <v>11</v>
      </c>
      <c r="N12" s="83" t="s">
        <v>12</v>
      </c>
      <c r="O12" s="81" t="s">
        <v>13</v>
      </c>
    </row>
    <row r="13" spans="2:15" x14ac:dyDescent="0.25">
      <c r="B13" s="108"/>
      <c r="C13" s="86"/>
      <c r="D13" s="86"/>
      <c r="E13" s="2" t="s">
        <v>14</v>
      </c>
      <c r="F13" s="2" t="s">
        <v>15</v>
      </c>
      <c r="G13" s="88"/>
      <c r="H13" s="84"/>
      <c r="I13" s="88"/>
      <c r="J13" s="88"/>
      <c r="K13" s="86"/>
      <c r="L13" s="86"/>
      <c r="M13" s="84"/>
      <c r="N13" s="84"/>
      <c r="O13" s="82"/>
    </row>
    <row r="14" spans="2:15" x14ac:dyDescent="0.25">
      <c r="B14" s="53">
        <v>45992</v>
      </c>
      <c r="C14" s="3" t="s">
        <v>49</v>
      </c>
      <c r="D14" s="4" t="s">
        <v>38</v>
      </c>
      <c r="E14" s="5">
        <v>3</v>
      </c>
      <c r="F14" s="5">
        <v>0</v>
      </c>
      <c r="G14" s="6" t="s">
        <v>26</v>
      </c>
      <c r="H14" s="5" t="s">
        <v>16</v>
      </c>
      <c r="I14" s="5" t="s">
        <v>16</v>
      </c>
      <c r="J14" s="7" t="s">
        <v>17</v>
      </c>
      <c r="K14" s="14">
        <v>9.5833333333333339</v>
      </c>
      <c r="L14" s="14">
        <v>10.708333333333334</v>
      </c>
      <c r="M14" s="33" t="s">
        <v>24</v>
      </c>
      <c r="N14" s="15">
        <f>(L1006-K1006)-TIME(9,0,0)</f>
        <v>-0.375</v>
      </c>
      <c r="O14" s="22">
        <f>L14-K14</f>
        <v>1.125</v>
      </c>
    </row>
    <row r="15" spans="2:15" ht="15.75" thickBot="1" x14ac:dyDescent="0.3">
      <c r="B15" s="53">
        <v>45992</v>
      </c>
      <c r="C15" s="3" t="s">
        <v>49</v>
      </c>
      <c r="D15" s="4" t="s">
        <v>38</v>
      </c>
      <c r="E15" s="24">
        <v>0</v>
      </c>
      <c r="F15" s="24">
        <v>0</v>
      </c>
      <c r="G15" s="25" t="s">
        <v>20</v>
      </c>
      <c r="H15" s="24" t="s">
        <v>16</v>
      </c>
      <c r="I15" s="24" t="s">
        <v>16</v>
      </c>
      <c r="J15" s="26"/>
      <c r="K15" s="27"/>
      <c r="L15" s="27"/>
      <c r="M15" s="34" t="s">
        <v>19</v>
      </c>
      <c r="N15" s="29"/>
      <c r="O15" s="30"/>
    </row>
    <row r="16" spans="2:15" ht="15.75" x14ac:dyDescent="0.25">
      <c r="B16" s="76" t="s">
        <v>57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1"/>
      <c r="O16" s="20"/>
    </row>
    <row r="17" spans="2:15" x14ac:dyDescent="0.25">
      <c r="B17" s="107" t="s">
        <v>1</v>
      </c>
      <c r="C17" s="85" t="s">
        <v>2</v>
      </c>
      <c r="D17" s="85" t="s">
        <v>3</v>
      </c>
      <c r="E17" s="89" t="s">
        <v>4</v>
      </c>
      <c r="F17" s="90"/>
      <c r="G17" s="87" t="s">
        <v>5</v>
      </c>
      <c r="H17" s="83" t="s">
        <v>6</v>
      </c>
      <c r="I17" s="87" t="s">
        <v>7</v>
      </c>
      <c r="J17" s="87" t="s">
        <v>8</v>
      </c>
      <c r="K17" s="85" t="s">
        <v>9</v>
      </c>
      <c r="L17" s="85" t="s">
        <v>10</v>
      </c>
      <c r="M17" s="83" t="s">
        <v>11</v>
      </c>
      <c r="N17" s="83" t="s">
        <v>12</v>
      </c>
      <c r="O17" s="81" t="s">
        <v>13</v>
      </c>
    </row>
    <row r="18" spans="2:15" x14ac:dyDescent="0.25">
      <c r="B18" s="108"/>
      <c r="C18" s="86"/>
      <c r="D18" s="86"/>
      <c r="E18" s="2" t="s">
        <v>14</v>
      </c>
      <c r="F18" s="2" t="s">
        <v>15</v>
      </c>
      <c r="G18" s="88"/>
      <c r="H18" s="84"/>
      <c r="I18" s="88"/>
      <c r="J18" s="88"/>
      <c r="K18" s="86"/>
      <c r="L18" s="86"/>
      <c r="M18" s="84"/>
      <c r="N18" s="84"/>
      <c r="O18" s="82"/>
    </row>
    <row r="19" spans="2:15" x14ac:dyDescent="0.25">
      <c r="B19" s="53">
        <v>45993</v>
      </c>
      <c r="C19" s="3" t="s">
        <v>49</v>
      </c>
      <c r="D19" s="4" t="s">
        <v>38</v>
      </c>
      <c r="E19" s="5">
        <v>7</v>
      </c>
      <c r="F19" s="5">
        <v>0</v>
      </c>
      <c r="G19" s="6" t="s">
        <v>26</v>
      </c>
      <c r="H19" s="5" t="s">
        <v>16</v>
      </c>
      <c r="I19" s="5" t="s">
        <v>16</v>
      </c>
      <c r="J19" s="7" t="s">
        <v>17</v>
      </c>
      <c r="K19" s="14">
        <v>9.5833333333333339</v>
      </c>
      <c r="L19" s="14">
        <v>10.875</v>
      </c>
      <c r="M19" s="33" t="s">
        <v>18</v>
      </c>
      <c r="N19" s="15">
        <f>(L1011-K1011)-TIME(9,0,0)</f>
        <v>-0.375</v>
      </c>
      <c r="O19" s="22">
        <f>L19-K19</f>
        <v>1.2916666666666661</v>
      </c>
    </row>
    <row r="20" spans="2:15" ht="15.75" thickBot="1" x14ac:dyDescent="0.3">
      <c r="B20" s="53">
        <v>45993</v>
      </c>
      <c r="C20" s="3" t="s">
        <v>49</v>
      </c>
      <c r="D20" s="4" t="s">
        <v>38</v>
      </c>
      <c r="E20" s="24">
        <v>0</v>
      </c>
      <c r="F20" s="24">
        <v>0</v>
      </c>
      <c r="G20" s="25" t="s">
        <v>20</v>
      </c>
      <c r="H20" s="24" t="s">
        <v>16</v>
      </c>
      <c r="I20" s="24" t="s">
        <v>16</v>
      </c>
      <c r="J20" s="26"/>
      <c r="K20" s="27"/>
      <c r="L20" s="27"/>
      <c r="M20" s="34" t="s">
        <v>19</v>
      </c>
      <c r="N20" s="29"/>
      <c r="O20" s="30"/>
    </row>
    <row r="21" spans="2:15" ht="15.75" x14ac:dyDescent="0.25">
      <c r="B21" s="76" t="s">
        <v>57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1"/>
      <c r="O21" s="20"/>
    </row>
    <row r="22" spans="2:15" x14ac:dyDescent="0.25">
      <c r="B22" s="107" t="s">
        <v>1</v>
      </c>
      <c r="C22" s="85" t="s">
        <v>2</v>
      </c>
      <c r="D22" s="85" t="s">
        <v>3</v>
      </c>
      <c r="E22" s="89" t="s">
        <v>4</v>
      </c>
      <c r="F22" s="90"/>
      <c r="G22" s="87" t="s">
        <v>5</v>
      </c>
      <c r="H22" s="83" t="s">
        <v>6</v>
      </c>
      <c r="I22" s="87" t="s">
        <v>7</v>
      </c>
      <c r="J22" s="87" t="s">
        <v>8</v>
      </c>
      <c r="K22" s="85" t="s">
        <v>9</v>
      </c>
      <c r="L22" s="85" t="s">
        <v>10</v>
      </c>
      <c r="M22" s="83" t="s">
        <v>11</v>
      </c>
      <c r="N22" s="83" t="s">
        <v>12</v>
      </c>
      <c r="O22" s="81" t="s">
        <v>13</v>
      </c>
    </row>
    <row r="23" spans="2:15" x14ac:dyDescent="0.25">
      <c r="B23" s="108"/>
      <c r="C23" s="86"/>
      <c r="D23" s="86"/>
      <c r="E23" s="2" t="s">
        <v>14</v>
      </c>
      <c r="F23" s="2" t="s">
        <v>15</v>
      </c>
      <c r="G23" s="88"/>
      <c r="H23" s="84"/>
      <c r="I23" s="88"/>
      <c r="J23" s="88"/>
      <c r="K23" s="86"/>
      <c r="L23" s="86"/>
      <c r="M23" s="84"/>
      <c r="N23" s="84"/>
      <c r="O23" s="82"/>
    </row>
    <row r="24" spans="2:15" x14ac:dyDescent="0.25">
      <c r="B24" s="53">
        <v>45994</v>
      </c>
      <c r="C24" s="3" t="s">
        <v>49</v>
      </c>
      <c r="D24" s="4" t="s">
        <v>38</v>
      </c>
      <c r="E24" s="5">
        <v>5</v>
      </c>
      <c r="F24" s="5">
        <v>0</v>
      </c>
      <c r="G24" s="6" t="s">
        <v>26</v>
      </c>
      <c r="H24" s="5" t="s">
        <v>16</v>
      </c>
      <c r="I24" s="5" t="s">
        <v>16</v>
      </c>
      <c r="J24" s="7" t="s">
        <v>17</v>
      </c>
      <c r="K24" s="14">
        <v>9.2916666666666661</v>
      </c>
      <c r="L24" s="14">
        <v>10.5</v>
      </c>
      <c r="M24" s="33" t="s">
        <v>27</v>
      </c>
      <c r="N24" s="15">
        <f>(L1016-K1016)-TIME(9,0,0)</f>
        <v>-0.375</v>
      </c>
      <c r="O24" s="22">
        <f>L24-K24</f>
        <v>1.2083333333333339</v>
      </c>
    </row>
    <row r="25" spans="2:15" ht="15.75" thickBot="1" x14ac:dyDescent="0.3">
      <c r="B25" s="53">
        <v>45994</v>
      </c>
      <c r="C25" s="3" t="s">
        <v>49</v>
      </c>
      <c r="D25" s="4" t="s">
        <v>38</v>
      </c>
      <c r="E25" s="24">
        <v>0</v>
      </c>
      <c r="F25" s="24">
        <v>0</v>
      </c>
      <c r="G25" s="25" t="s">
        <v>20</v>
      </c>
      <c r="H25" s="24" t="s">
        <v>16</v>
      </c>
      <c r="I25" s="24" t="s">
        <v>16</v>
      </c>
      <c r="J25" s="26"/>
      <c r="K25" s="27"/>
      <c r="L25" s="27"/>
      <c r="M25" s="34" t="s">
        <v>19</v>
      </c>
      <c r="N25" s="29"/>
      <c r="O25" s="30"/>
    </row>
    <row r="26" spans="2:15" ht="15.75" x14ac:dyDescent="0.25">
      <c r="B26" s="76" t="s">
        <v>57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1"/>
      <c r="O26" s="20"/>
    </row>
    <row r="27" spans="2:15" x14ac:dyDescent="0.25">
      <c r="B27" s="107" t="s">
        <v>1</v>
      </c>
      <c r="C27" s="85" t="s">
        <v>2</v>
      </c>
      <c r="D27" s="85" t="s">
        <v>3</v>
      </c>
      <c r="E27" s="89" t="s">
        <v>4</v>
      </c>
      <c r="F27" s="90"/>
      <c r="G27" s="87" t="s">
        <v>5</v>
      </c>
      <c r="H27" s="83" t="s">
        <v>6</v>
      </c>
      <c r="I27" s="87" t="s">
        <v>7</v>
      </c>
      <c r="J27" s="87" t="s">
        <v>8</v>
      </c>
      <c r="K27" s="85" t="s">
        <v>9</v>
      </c>
      <c r="L27" s="85" t="s">
        <v>10</v>
      </c>
      <c r="M27" s="83" t="s">
        <v>11</v>
      </c>
      <c r="N27" s="83" t="s">
        <v>12</v>
      </c>
      <c r="O27" s="81" t="s">
        <v>13</v>
      </c>
    </row>
    <row r="28" spans="2:15" x14ac:dyDescent="0.25">
      <c r="B28" s="108"/>
      <c r="C28" s="86"/>
      <c r="D28" s="86"/>
      <c r="E28" s="2" t="s">
        <v>14</v>
      </c>
      <c r="F28" s="2" t="s">
        <v>15</v>
      </c>
      <c r="G28" s="88"/>
      <c r="H28" s="84"/>
      <c r="I28" s="88"/>
      <c r="J28" s="88"/>
      <c r="K28" s="86"/>
      <c r="L28" s="86"/>
      <c r="M28" s="84"/>
      <c r="N28" s="84"/>
      <c r="O28" s="82"/>
    </row>
    <row r="29" spans="2:15" x14ac:dyDescent="0.25">
      <c r="B29" s="53">
        <v>45995</v>
      </c>
      <c r="C29" s="3" t="s">
        <v>49</v>
      </c>
      <c r="D29" s="4" t="s">
        <v>38</v>
      </c>
      <c r="E29" s="5">
        <v>7</v>
      </c>
      <c r="F29" s="5">
        <v>0</v>
      </c>
      <c r="G29" s="6" t="s">
        <v>26</v>
      </c>
      <c r="H29" s="5" t="s">
        <v>16</v>
      </c>
      <c r="I29" s="5" t="s">
        <v>16</v>
      </c>
      <c r="J29" s="7" t="s">
        <v>17</v>
      </c>
      <c r="K29" s="14">
        <v>9.2916666666666661</v>
      </c>
      <c r="L29" s="14">
        <v>10.583333333333334</v>
      </c>
      <c r="M29" s="33" t="s">
        <v>28</v>
      </c>
      <c r="N29" s="15">
        <f>(L1021-K1021)-TIME(9,0,0)</f>
        <v>-0.375</v>
      </c>
      <c r="O29" s="22">
        <f>L29-K29</f>
        <v>1.2916666666666679</v>
      </c>
    </row>
    <row r="30" spans="2:15" ht="15.75" thickBot="1" x14ac:dyDescent="0.3">
      <c r="B30" s="53">
        <v>45995</v>
      </c>
      <c r="C30" s="3" t="s">
        <v>49</v>
      </c>
      <c r="D30" s="4" t="s">
        <v>38</v>
      </c>
      <c r="E30" s="24">
        <v>0</v>
      </c>
      <c r="F30" s="24">
        <v>0</v>
      </c>
      <c r="G30" s="25" t="s">
        <v>20</v>
      </c>
      <c r="H30" s="24" t="s">
        <v>16</v>
      </c>
      <c r="I30" s="24" t="s">
        <v>16</v>
      </c>
      <c r="J30" s="26"/>
      <c r="K30" s="27"/>
      <c r="L30" s="27"/>
      <c r="M30" s="34" t="s">
        <v>19</v>
      </c>
      <c r="N30" s="29"/>
      <c r="O30" s="30"/>
    </row>
    <row r="31" spans="2:15" ht="15.75" x14ac:dyDescent="0.25">
      <c r="B31" s="76" t="s">
        <v>57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1"/>
      <c r="O31" s="20"/>
    </row>
    <row r="32" spans="2:15" x14ac:dyDescent="0.25">
      <c r="B32" s="107" t="s">
        <v>1</v>
      </c>
      <c r="C32" s="85" t="s">
        <v>2</v>
      </c>
      <c r="D32" s="85" t="s">
        <v>3</v>
      </c>
      <c r="E32" s="89" t="s">
        <v>4</v>
      </c>
      <c r="F32" s="90"/>
      <c r="G32" s="87" t="s">
        <v>5</v>
      </c>
      <c r="H32" s="83" t="s">
        <v>6</v>
      </c>
      <c r="I32" s="87" t="s">
        <v>7</v>
      </c>
      <c r="J32" s="87" t="s">
        <v>8</v>
      </c>
      <c r="K32" s="85" t="s">
        <v>9</v>
      </c>
      <c r="L32" s="85" t="s">
        <v>10</v>
      </c>
      <c r="M32" s="83" t="s">
        <v>11</v>
      </c>
      <c r="N32" s="83" t="s">
        <v>12</v>
      </c>
      <c r="O32" s="81" t="s">
        <v>13</v>
      </c>
    </row>
    <row r="33" spans="2:15" x14ac:dyDescent="0.25">
      <c r="B33" s="108"/>
      <c r="C33" s="86"/>
      <c r="D33" s="86"/>
      <c r="E33" s="2" t="s">
        <v>14</v>
      </c>
      <c r="F33" s="2" t="s">
        <v>15</v>
      </c>
      <c r="G33" s="88"/>
      <c r="H33" s="84"/>
      <c r="I33" s="88"/>
      <c r="J33" s="88"/>
      <c r="K33" s="86"/>
      <c r="L33" s="86"/>
      <c r="M33" s="84"/>
      <c r="N33" s="84"/>
      <c r="O33" s="82"/>
    </row>
    <row r="34" spans="2:15" x14ac:dyDescent="0.25">
      <c r="B34" s="53">
        <v>45997</v>
      </c>
      <c r="C34" s="3" t="s">
        <v>49</v>
      </c>
      <c r="D34" s="4" t="s">
        <v>38</v>
      </c>
      <c r="E34" s="5">
        <v>7</v>
      </c>
      <c r="F34" s="5">
        <v>0</v>
      </c>
      <c r="G34" s="6" t="s">
        <v>26</v>
      </c>
      <c r="H34" s="5" t="s">
        <v>16</v>
      </c>
      <c r="I34" s="5" t="s">
        <v>16</v>
      </c>
      <c r="J34" s="7" t="s">
        <v>17</v>
      </c>
      <c r="K34" s="14">
        <v>9.6666666666666661</v>
      </c>
      <c r="L34" s="14">
        <v>10.958333333333334</v>
      </c>
      <c r="M34" s="33" t="s">
        <v>22</v>
      </c>
      <c r="N34" s="15">
        <f>(L1026-K1026)-TIME(9,0,0)</f>
        <v>-0.375</v>
      </c>
      <c r="O34" s="22">
        <f>L34-K34</f>
        <v>1.2916666666666679</v>
      </c>
    </row>
    <row r="35" spans="2:15" ht="15.75" thickBot="1" x14ac:dyDescent="0.3">
      <c r="B35" s="53">
        <v>45997</v>
      </c>
      <c r="C35" s="3" t="s">
        <v>49</v>
      </c>
      <c r="D35" s="4" t="s">
        <v>38</v>
      </c>
      <c r="E35" s="24">
        <v>0</v>
      </c>
      <c r="F35" s="24">
        <v>0</v>
      </c>
      <c r="G35" s="25" t="s">
        <v>20</v>
      </c>
      <c r="H35" s="24" t="s">
        <v>16</v>
      </c>
      <c r="I35" s="24" t="s">
        <v>16</v>
      </c>
      <c r="J35" s="26"/>
      <c r="K35" s="27"/>
      <c r="L35" s="27"/>
      <c r="M35" s="34" t="s">
        <v>19</v>
      </c>
      <c r="N35" s="29"/>
      <c r="O35" s="30"/>
    </row>
    <row r="36" spans="2:15" ht="15.75" x14ac:dyDescent="0.25">
      <c r="B36" s="76" t="s">
        <v>57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1"/>
      <c r="O36" s="20"/>
    </row>
    <row r="37" spans="2:15" x14ac:dyDescent="0.25">
      <c r="B37" s="107" t="s">
        <v>1</v>
      </c>
      <c r="C37" s="85" t="s">
        <v>2</v>
      </c>
      <c r="D37" s="85" t="s">
        <v>3</v>
      </c>
      <c r="E37" s="89" t="s">
        <v>4</v>
      </c>
      <c r="F37" s="90"/>
      <c r="G37" s="87" t="s">
        <v>5</v>
      </c>
      <c r="H37" s="83" t="s">
        <v>6</v>
      </c>
      <c r="I37" s="87" t="s">
        <v>7</v>
      </c>
      <c r="J37" s="87" t="s">
        <v>8</v>
      </c>
      <c r="K37" s="85" t="s">
        <v>9</v>
      </c>
      <c r="L37" s="85" t="s">
        <v>10</v>
      </c>
      <c r="M37" s="83" t="s">
        <v>11</v>
      </c>
      <c r="N37" s="83" t="s">
        <v>12</v>
      </c>
      <c r="O37" s="81" t="s">
        <v>13</v>
      </c>
    </row>
    <row r="38" spans="2:15" x14ac:dyDescent="0.25">
      <c r="B38" s="108"/>
      <c r="C38" s="86"/>
      <c r="D38" s="86"/>
      <c r="E38" s="2" t="s">
        <v>14</v>
      </c>
      <c r="F38" s="2" t="s">
        <v>15</v>
      </c>
      <c r="G38" s="88"/>
      <c r="H38" s="84"/>
      <c r="I38" s="88"/>
      <c r="J38" s="88"/>
      <c r="K38" s="86"/>
      <c r="L38" s="86"/>
      <c r="M38" s="84"/>
      <c r="N38" s="84"/>
      <c r="O38" s="82"/>
    </row>
    <row r="39" spans="2:15" x14ac:dyDescent="0.25">
      <c r="B39" s="53">
        <v>46001</v>
      </c>
      <c r="C39" s="3" t="s">
        <v>49</v>
      </c>
      <c r="D39" s="4" t="s">
        <v>38</v>
      </c>
      <c r="E39" s="5">
        <v>7</v>
      </c>
      <c r="F39" s="5">
        <v>0</v>
      </c>
      <c r="G39" s="6" t="s">
        <v>26</v>
      </c>
      <c r="H39" s="5" t="s">
        <v>16</v>
      </c>
      <c r="I39" s="5" t="s">
        <v>16</v>
      </c>
      <c r="J39" s="7" t="s">
        <v>17</v>
      </c>
      <c r="K39" s="14">
        <v>9.2916666666666661</v>
      </c>
      <c r="L39" s="14">
        <v>10.583333333333334</v>
      </c>
      <c r="M39" s="33" t="s">
        <v>27</v>
      </c>
      <c r="N39" s="15">
        <f>(L1031-K1031)-TIME(9,0,0)</f>
        <v>-0.375</v>
      </c>
      <c r="O39" s="22">
        <f>L39-K39</f>
        <v>1.2916666666666679</v>
      </c>
    </row>
    <row r="40" spans="2:15" ht="15.75" thickBot="1" x14ac:dyDescent="0.3">
      <c r="B40" s="53">
        <v>46001</v>
      </c>
      <c r="C40" s="3" t="s">
        <v>49</v>
      </c>
      <c r="D40" s="4" t="s">
        <v>38</v>
      </c>
      <c r="E40" s="24">
        <v>0</v>
      </c>
      <c r="F40" s="24">
        <v>0</v>
      </c>
      <c r="G40" s="25" t="s">
        <v>20</v>
      </c>
      <c r="H40" s="24" t="s">
        <v>16</v>
      </c>
      <c r="I40" s="24" t="s">
        <v>16</v>
      </c>
      <c r="J40" s="26"/>
      <c r="K40" s="27"/>
      <c r="L40" s="27"/>
      <c r="M40" s="34" t="s">
        <v>19</v>
      </c>
      <c r="N40" s="29"/>
      <c r="O40" s="30"/>
    </row>
    <row r="41" spans="2:15" ht="15.75" x14ac:dyDescent="0.25">
      <c r="B41" s="76" t="s">
        <v>57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1"/>
      <c r="O41" s="20"/>
    </row>
    <row r="42" spans="2:15" x14ac:dyDescent="0.25">
      <c r="B42" s="107" t="s">
        <v>1</v>
      </c>
      <c r="C42" s="85" t="s">
        <v>2</v>
      </c>
      <c r="D42" s="85" t="s">
        <v>3</v>
      </c>
      <c r="E42" s="89" t="s">
        <v>4</v>
      </c>
      <c r="F42" s="90"/>
      <c r="G42" s="87" t="s">
        <v>5</v>
      </c>
      <c r="H42" s="83" t="s">
        <v>6</v>
      </c>
      <c r="I42" s="87" t="s">
        <v>7</v>
      </c>
      <c r="J42" s="87" t="s">
        <v>8</v>
      </c>
      <c r="K42" s="85" t="s">
        <v>9</v>
      </c>
      <c r="L42" s="85" t="s">
        <v>10</v>
      </c>
      <c r="M42" s="83" t="s">
        <v>11</v>
      </c>
      <c r="N42" s="83" t="s">
        <v>12</v>
      </c>
      <c r="O42" s="81" t="s">
        <v>13</v>
      </c>
    </row>
    <row r="43" spans="2:15" x14ac:dyDescent="0.25">
      <c r="B43" s="108"/>
      <c r="C43" s="86"/>
      <c r="D43" s="86"/>
      <c r="E43" s="2" t="s">
        <v>14</v>
      </c>
      <c r="F43" s="2" t="s">
        <v>15</v>
      </c>
      <c r="G43" s="88"/>
      <c r="H43" s="84"/>
      <c r="I43" s="88"/>
      <c r="J43" s="88"/>
      <c r="K43" s="86"/>
      <c r="L43" s="86"/>
      <c r="M43" s="84"/>
      <c r="N43" s="84"/>
      <c r="O43" s="82"/>
    </row>
    <row r="44" spans="2:15" x14ac:dyDescent="0.25">
      <c r="B44" s="53">
        <v>46002</v>
      </c>
      <c r="C44" s="3" t="s">
        <v>49</v>
      </c>
      <c r="D44" s="4" t="s">
        <v>38</v>
      </c>
      <c r="E44" s="5">
        <v>6</v>
      </c>
      <c r="F44" s="5">
        <v>0</v>
      </c>
      <c r="G44" s="6" t="s">
        <v>26</v>
      </c>
      <c r="H44" s="5" t="s">
        <v>16</v>
      </c>
      <c r="I44" s="5" t="s">
        <v>16</v>
      </c>
      <c r="J44" s="7" t="s">
        <v>17</v>
      </c>
      <c r="K44" s="14">
        <v>9.625</v>
      </c>
      <c r="L44" s="14">
        <v>10.875</v>
      </c>
      <c r="M44" s="33" t="s">
        <v>28</v>
      </c>
      <c r="N44" s="15">
        <f>(L1036-K1036)-TIME(9,0,0)</f>
        <v>-0.375</v>
      </c>
      <c r="O44" s="22">
        <f>L44-K44</f>
        <v>1.25</v>
      </c>
    </row>
    <row r="45" spans="2:15" ht="15.75" thickBot="1" x14ac:dyDescent="0.3">
      <c r="B45" s="53">
        <v>46002</v>
      </c>
      <c r="C45" s="3" t="s">
        <v>49</v>
      </c>
      <c r="D45" s="4" t="s">
        <v>38</v>
      </c>
      <c r="E45" s="24">
        <v>0</v>
      </c>
      <c r="F45" s="24">
        <v>0</v>
      </c>
      <c r="G45" s="25" t="s">
        <v>20</v>
      </c>
      <c r="H45" s="24" t="s">
        <v>16</v>
      </c>
      <c r="I45" s="24" t="s">
        <v>16</v>
      </c>
      <c r="J45" s="26"/>
      <c r="K45" s="27"/>
      <c r="L45" s="27"/>
      <c r="M45" s="34" t="s">
        <v>19</v>
      </c>
      <c r="N45" s="29"/>
      <c r="O45" s="30"/>
    </row>
    <row r="46" spans="2:15" ht="15.75" x14ac:dyDescent="0.25">
      <c r="B46" s="76" t="s">
        <v>57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1"/>
      <c r="O46" s="20"/>
    </row>
    <row r="47" spans="2:15" x14ac:dyDescent="0.25">
      <c r="B47" s="107" t="s">
        <v>1</v>
      </c>
      <c r="C47" s="85" t="s">
        <v>2</v>
      </c>
      <c r="D47" s="85" t="s">
        <v>3</v>
      </c>
      <c r="E47" s="89" t="s">
        <v>4</v>
      </c>
      <c r="F47" s="90"/>
      <c r="G47" s="87" t="s">
        <v>5</v>
      </c>
      <c r="H47" s="83" t="s">
        <v>6</v>
      </c>
      <c r="I47" s="87" t="s">
        <v>7</v>
      </c>
      <c r="J47" s="87" t="s">
        <v>8</v>
      </c>
      <c r="K47" s="85" t="s">
        <v>9</v>
      </c>
      <c r="L47" s="85" t="s">
        <v>10</v>
      </c>
      <c r="M47" s="83" t="s">
        <v>11</v>
      </c>
      <c r="N47" s="83" t="s">
        <v>12</v>
      </c>
      <c r="O47" s="81" t="s">
        <v>13</v>
      </c>
    </row>
    <row r="48" spans="2:15" x14ac:dyDescent="0.25">
      <c r="B48" s="108"/>
      <c r="C48" s="86"/>
      <c r="D48" s="86"/>
      <c r="E48" s="2" t="s">
        <v>14</v>
      </c>
      <c r="F48" s="2" t="s">
        <v>15</v>
      </c>
      <c r="G48" s="88"/>
      <c r="H48" s="84"/>
      <c r="I48" s="88"/>
      <c r="J48" s="88"/>
      <c r="K48" s="86"/>
      <c r="L48" s="86"/>
      <c r="M48" s="84"/>
      <c r="N48" s="84"/>
      <c r="O48" s="82"/>
    </row>
    <row r="49" spans="2:15" x14ac:dyDescent="0.25">
      <c r="B49" s="53">
        <v>46003</v>
      </c>
      <c r="C49" s="3" t="s">
        <v>49</v>
      </c>
      <c r="D49" s="4" t="s">
        <v>38</v>
      </c>
      <c r="E49" s="5">
        <v>8</v>
      </c>
      <c r="F49" s="5">
        <v>0</v>
      </c>
      <c r="G49" s="6" t="s">
        <v>26</v>
      </c>
      <c r="H49" s="5" t="s">
        <v>16</v>
      </c>
      <c r="I49" s="5" t="s">
        <v>16</v>
      </c>
      <c r="J49" s="7" t="s">
        <v>17</v>
      </c>
      <c r="K49" s="14">
        <v>9.625</v>
      </c>
      <c r="L49" s="14">
        <v>10.958333333333334</v>
      </c>
      <c r="M49" s="33" t="s">
        <v>29</v>
      </c>
      <c r="N49" s="15">
        <f>(L1041-K1041)-TIME(9,0,0)</f>
        <v>-0.375</v>
      </c>
      <c r="O49" s="22">
        <f>L49-K49</f>
        <v>1.3333333333333339</v>
      </c>
    </row>
    <row r="50" spans="2:15" ht="15.75" thickBot="1" x14ac:dyDescent="0.3">
      <c r="B50" s="53">
        <v>46003</v>
      </c>
      <c r="C50" s="3" t="s">
        <v>49</v>
      </c>
      <c r="D50" s="4" t="s">
        <v>38</v>
      </c>
      <c r="E50" s="24">
        <v>0</v>
      </c>
      <c r="F50" s="24">
        <v>0</v>
      </c>
      <c r="G50" s="25" t="s">
        <v>20</v>
      </c>
      <c r="H50" s="24" t="s">
        <v>16</v>
      </c>
      <c r="I50" s="24" t="s">
        <v>16</v>
      </c>
      <c r="J50" s="26"/>
      <c r="K50" s="27"/>
      <c r="L50" s="27"/>
      <c r="M50" s="34" t="s">
        <v>19</v>
      </c>
      <c r="N50" s="29"/>
      <c r="O50" s="30"/>
    </row>
    <row r="51" spans="2:15" ht="15.75" x14ac:dyDescent="0.25">
      <c r="B51" s="104" t="s">
        <v>56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"/>
      <c r="O51" s="73"/>
    </row>
    <row r="52" spans="2:15" ht="15.75" x14ac:dyDescent="0.25">
      <c r="B52" s="76" t="s">
        <v>57</v>
      </c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1"/>
      <c r="O52" s="20"/>
    </row>
    <row r="53" spans="2:15" x14ac:dyDescent="0.25">
      <c r="B53" s="67" t="s">
        <v>1</v>
      </c>
      <c r="C53" s="55" t="s">
        <v>2</v>
      </c>
      <c r="D53" s="55" t="s">
        <v>3</v>
      </c>
      <c r="E53" s="63" t="s">
        <v>4</v>
      </c>
      <c r="F53" s="64"/>
      <c r="G53" s="59" t="s">
        <v>5</v>
      </c>
      <c r="H53" s="61" t="s">
        <v>6</v>
      </c>
      <c r="I53" s="59" t="s">
        <v>7</v>
      </c>
      <c r="J53" s="59" t="s">
        <v>8</v>
      </c>
      <c r="K53" s="55" t="s">
        <v>9</v>
      </c>
      <c r="L53" s="55" t="s">
        <v>10</v>
      </c>
      <c r="M53" s="61" t="s">
        <v>11</v>
      </c>
      <c r="N53" s="61" t="s">
        <v>12</v>
      </c>
      <c r="O53" s="65" t="s">
        <v>13</v>
      </c>
    </row>
    <row r="54" spans="2:15" x14ac:dyDescent="0.25">
      <c r="B54" s="68"/>
      <c r="C54" s="56"/>
      <c r="D54" s="56"/>
      <c r="E54" s="2" t="s">
        <v>14</v>
      </c>
      <c r="F54" s="2" t="s">
        <v>15</v>
      </c>
      <c r="G54" s="60"/>
      <c r="H54" s="62"/>
      <c r="I54" s="60"/>
      <c r="J54" s="60"/>
      <c r="K54" s="56"/>
      <c r="L54" s="56"/>
      <c r="M54" s="62"/>
      <c r="N54" s="62"/>
      <c r="O54" s="66"/>
    </row>
    <row r="55" spans="2:15" x14ac:dyDescent="0.25">
      <c r="B55" s="53">
        <v>46013</v>
      </c>
      <c r="C55" s="3" t="s">
        <v>49</v>
      </c>
      <c r="D55" s="4" t="s">
        <v>38</v>
      </c>
      <c r="E55" s="5">
        <v>7</v>
      </c>
      <c r="F55" s="5">
        <v>0</v>
      </c>
      <c r="G55" s="6" t="s">
        <v>26</v>
      </c>
      <c r="H55" s="5" t="s">
        <v>16</v>
      </c>
      <c r="I55" s="5" t="s">
        <v>16</v>
      </c>
      <c r="J55" s="7" t="s">
        <v>17</v>
      </c>
      <c r="K55" s="14">
        <v>9.3125</v>
      </c>
      <c r="L55" s="14">
        <v>10.604166666666666</v>
      </c>
      <c r="M55" s="33" t="s">
        <v>24</v>
      </c>
      <c r="N55" s="15">
        <f>(L1047-K1047)-TIME(9,0,0)</f>
        <v>-0.375</v>
      </c>
      <c r="O55" s="22">
        <f>L55-K55</f>
        <v>1.2916666666666661</v>
      </c>
    </row>
    <row r="56" spans="2:15" ht="15.75" thickBot="1" x14ac:dyDescent="0.3">
      <c r="B56" s="53">
        <v>46013</v>
      </c>
      <c r="C56" s="3" t="s">
        <v>49</v>
      </c>
      <c r="D56" s="4" t="s">
        <v>38</v>
      </c>
      <c r="E56" s="24">
        <v>0</v>
      </c>
      <c r="F56" s="24">
        <v>0</v>
      </c>
      <c r="G56" s="25" t="s">
        <v>20</v>
      </c>
      <c r="H56" s="24" t="s">
        <v>16</v>
      </c>
      <c r="I56" s="24" t="s">
        <v>16</v>
      </c>
      <c r="J56" s="26"/>
      <c r="K56" s="27"/>
      <c r="L56" s="27"/>
      <c r="M56" s="34" t="s">
        <v>19</v>
      </c>
      <c r="N56" s="29"/>
      <c r="O56" s="30"/>
    </row>
    <row r="57" spans="2:15" ht="15.75" x14ac:dyDescent="0.25">
      <c r="B57" s="76" t="s">
        <v>57</v>
      </c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1"/>
      <c r="O57" s="20"/>
    </row>
    <row r="58" spans="2:15" x14ac:dyDescent="0.25">
      <c r="B58" s="67" t="s">
        <v>1</v>
      </c>
      <c r="C58" s="55" t="s">
        <v>2</v>
      </c>
      <c r="D58" s="55" t="s">
        <v>3</v>
      </c>
      <c r="E58" s="63" t="s">
        <v>4</v>
      </c>
      <c r="F58" s="64"/>
      <c r="G58" s="59" t="s">
        <v>5</v>
      </c>
      <c r="H58" s="61" t="s">
        <v>6</v>
      </c>
      <c r="I58" s="59" t="s">
        <v>7</v>
      </c>
      <c r="J58" s="59" t="s">
        <v>8</v>
      </c>
      <c r="K58" s="55" t="s">
        <v>9</v>
      </c>
      <c r="L58" s="55" t="s">
        <v>10</v>
      </c>
      <c r="M58" s="61" t="s">
        <v>11</v>
      </c>
      <c r="N58" s="61" t="s">
        <v>12</v>
      </c>
      <c r="O58" s="65" t="s">
        <v>13</v>
      </c>
    </row>
    <row r="59" spans="2:15" x14ac:dyDescent="0.25">
      <c r="B59" s="68"/>
      <c r="C59" s="56"/>
      <c r="D59" s="56"/>
      <c r="E59" s="2" t="s">
        <v>14</v>
      </c>
      <c r="F59" s="2" t="s">
        <v>15</v>
      </c>
      <c r="G59" s="60"/>
      <c r="H59" s="62"/>
      <c r="I59" s="60"/>
      <c r="J59" s="60"/>
      <c r="K59" s="56"/>
      <c r="L59" s="56"/>
      <c r="M59" s="62"/>
      <c r="N59" s="62"/>
      <c r="O59" s="66"/>
    </row>
    <row r="60" spans="2:15" x14ac:dyDescent="0.25">
      <c r="B60" s="53">
        <v>46015</v>
      </c>
      <c r="C60" s="3" t="s">
        <v>49</v>
      </c>
      <c r="D60" s="4" t="s">
        <v>38</v>
      </c>
      <c r="E60" s="5">
        <v>7</v>
      </c>
      <c r="F60" s="5">
        <v>30</v>
      </c>
      <c r="G60" s="6" t="s">
        <v>26</v>
      </c>
      <c r="H60" s="5" t="s">
        <v>16</v>
      </c>
      <c r="I60" s="5" t="s">
        <v>16</v>
      </c>
      <c r="J60" s="7" t="s">
        <v>17</v>
      </c>
      <c r="K60" s="14">
        <v>9.2916666666666661</v>
      </c>
      <c r="L60" s="14">
        <v>10.604166666666666</v>
      </c>
      <c r="M60" s="33" t="s">
        <v>27</v>
      </c>
      <c r="N60" s="15">
        <f>(L1052-K1052)-TIME(9,0,0)</f>
        <v>-0.375</v>
      </c>
      <c r="O60" s="22">
        <f>L60-K60</f>
        <v>1.3125</v>
      </c>
    </row>
    <row r="61" spans="2:15" ht="15.75" thickBot="1" x14ac:dyDescent="0.3">
      <c r="B61" s="53">
        <v>46015</v>
      </c>
      <c r="C61" s="3" t="s">
        <v>49</v>
      </c>
      <c r="D61" s="4" t="s">
        <v>38</v>
      </c>
      <c r="E61" s="24">
        <v>0</v>
      </c>
      <c r="F61" s="24">
        <v>0</v>
      </c>
      <c r="G61" s="25" t="s">
        <v>20</v>
      </c>
      <c r="H61" s="24" t="s">
        <v>16</v>
      </c>
      <c r="I61" s="24" t="s">
        <v>16</v>
      </c>
      <c r="J61" s="26"/>
      <c r="K61" s="27"/>
      <c r="L61" s="27"/>
      <c r="M61" s="34" t="s">
        <v>19</v>
      </c>
      <c r="N61" s="29"/>
      <c r="O61" s="30"/>
    </row>
    <row r="62" spans="2:15" ht="15.75" x14ac:dyDescent="0.25">
      <c r="B62" s="76" t="s">
        <v>57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1"/>
      <c r="O62" s="20"/>
    </row>
    <row r="63" spans="2:15" x14ac:dyDescent="0.25">
      <c r="B63" s="67" t="s">
        <v>1</v>
      </c>
      <c r="C63" s="55" t="s">
        <v>2</v>
      </c>
      <c r="D63" s="55" t="s">
        <v>3</v>
      </c>
      <c r="E63" s="63" t="s">
        <v>4</v>
      </c>
      <c r="F63" s="64"/>
      <c r="G63" s="59" t="s">
        <v>5</v>
      </c>
      <c r="H63" s="61" t="s">
        <v>6</v>
      </c>
      <c r="I63" s="59" t="s">
        <v>7</v>
      </c>
      <c r="J63" s="59" t="s">
        <v>8</v>
      </c>
      <c r="K63" s="55" t="s">
        <v>9</v>
      </c>
      <c r="L63" s="55" t="s">
        <v>10</v>
      </c>
      <c r="M63" s="61" t="s">
        <v>11</v>
      </c>
      <c r="N63" s="61" t="s">
        <v>12</v>
      </c>
      <c r="O63" s="65" t="s">
        <v>13</v>
      </c>
    </row>
    <row r="64" spans="2:15" x14ac:dyDescent="0.25">
      <c r="B64" s="68"/>
      <c r="C64" s="56"/>
      <c r="D64" s="56"/>
      <c r="E64" s="2" t="s">
        <v>14</v>
      </c>
      <c r="F64" s="2" t="s">
        <v>15</v>
      </c>
      <c r="G64" s="60"/>
      <c r="H64" s="62"/>
      <c r="I64" s="60"/>
      <c r="J64" s="60"/>
      <c r="K64" s="56"/>
      <c r="L64" s="56"/>
      <c r="M64" s="62"/>
      <c r="N64" s="62"/>
      <c r="O64" s="66"/>
    </row>
    <row r="65" spans="2:15" x14ac:dyDescent="0.25">
      <c r="B65" s="53">
        <v>46016</v>
      </c>
      <c r="C65" s="3" t="s">
        <v>49</v>
      </c>
      <c r="D65" s="4" t="s">
        <v>38</v>
      </c>
      <c r="E65" s="5">
        <v>2</v>
      </c>
      <c r="F65" s="5">
        <v>0</v>
      </c>
      <c r="G65" s="6" t="s">
        <v>26</v>
      </c>
      <c r="H65" s="5" t="s">
        <v>16</v>
      </c>
      <c r="I65" s="5" t="s">
        <v>16</v>
      </c>
      <c r="J65" s="7" t="s">
        <v>17</v>
      </c>
      <c r="K65" s="14">
        <v>9.6875</v>
      </c>
      <c r="L65" s="14">
        <v>10.770833333333334</v>
      </c>
      <c r="M65" s="33" t="s">
        <v>28</v>
      </c>
      <c r="N65" s="15">
        <f>(L1057-K1057)-TIME(9,0,0)</f>
        <v>-0.375</v>
      </c>
      <c r="O65" s="22">
        <f>L65-K65</f>
        <v>1.0833333333333339</v>
      </c>
    </row>
    <row r="66" spans="2:15" ht="15.75" thickBot="1" x14ac:dyDescent="0.3">
      <c r="B66" s="53">
        <v>46016</v>
      </c>
      <c r="C66" s="3" t="s">
        <v>49</v>
      </c>
      <c r="D66" s="4" t="s">
        <v>38</v>
      </c>
      <c r="E66" s="24">
        <v>0</v>
      </c>
      <c r="F66" s="24">
        <v>0</v>
      </c>
      <c r="G66" s="25" t="s">
        <v>20</v>
      </c>
      <c r="H66" s="24" t="s">
        <v>16</v>
      </c>
      <c r="I66" s="24" t="s">
        <v>16</v>
      </c>
      <c r="J66" s="26"/>
      <c r="K66" s="27"/>
      <c r="L66" s="27"/>
      <c r="M66" s="34" t="s">
        <v>19</v>
      </c>
      <c r="N66" s="29"/>
      <c r="O66" s="30"/>
    </row>
    <row r="67" spans="2:15" ht="15.75" x14ac:dyDescent="0.25">
      <c r="B67" s="76" t="s">
        <v>57</v>
      </c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1"/>
      <c r="O67" s="20"/>
    </row>
    <row r="68" spans="2:15" x14ac:dyDescent="0.25">
      <c r="B68" s="67" t="s">
        <v>1</v>
      </c>
      <c r="C68" s="55" t="s">
        <v>2</v>
      </c>
      <c r="D68" s="55" t="s">
        <v>3</v>
      </c>
      <c r="E68" s="63" t="s">
        <v>4</v>
      </c>
      <c r="F68" s="64"/>
      <c r="G68" s="59" t="s">
        <v>5</v>
      </c>
      <c r="H68" s="61" t="s">
        <v>6</v>
      </c>
      <c r="I68" s="59" t="s">
        <v>7</v>
      </c>
      <c r="J68" s="59" t="s">
        <v>8</v>
      </c>
      <c r="K68" s="55" t="s">
        <v>9</v>
      </c>
      <c r="L68" s="55" t="s">
        <v>10</v>
      </c>
      <c r="M68" s="61" t="s">
        <v>11</v>
      </c>
      <c r="N68" s="61" t="s">
        <v>12</v>
      </c>
      <c r="O68" s="65" t="s">
        <v>13</v>
      </c>
    </row>
    <row r="69" spans="2:15" x14ac:dyDescent="0.25">
      <c r="B69" s="68"/>
      <c r="C69" s="56"/>
      <c r="D69" s="56"/>
      <c r="E69" s="2" t="s">
        <v>14</v>
      </c>
      <c r="F69" s="2" t="s">
        <v>15</v>
      </c>
      <c r="G69" s="60"/>
      <c r="H69" s="62"/>
      <c r="I69" s="60"/>
      <c r="J69" s="60"/>
      <c r="K69" s="56"/>
      <c r="L69" s="56"/>
      <c r="M69" s="62"/>
      <c r="N69" s="62"/>
      <c r="O69" s="66"/>
    </row>
    <row r="70" spans="2:15" x14ac:dyDescent="0.25">
      <c r="B70" s="53">
        <v>46017</v>
      </c>
      <c r="C70" s="3" t="s">
        <v>49</v>
      </c>
      <c r="D70" s="4" t="s">
        <v>38</v>
      </c>
      <c r="E70" s="5">
        <v>7</v>
      </c>
      <c r="F70" s="5">
        <v>5</v>
      </c>
      <c r="G70" s="6" t="s">
        <v>26</v>
      </c>
      <c r="H70" s="5" t="s">
        <v>16</v>
      </c>
      <c r="I70" s="5" t="s">
        <v>16</v>
      </c>
      <c r="J70" s="7" t="s">
        <v>17</v>
      </c>
      <c r="K70" s="14">
        <v>9.3541666666666661</v>
      </c>
      <c r="L70" s="14">
        <v>10.649305555555555</v>
      </c>
      <c r="M70" s="33" t="s">
        <v>29</v>
      </c>
      <c r="N70" s="15">
        <f>(L1062-K1062)-TIME(9,0,0)</f>
        <v>-0.375</v>
      </c>
      <c r="O70" s="22">
        <f>L70-K70</f>
        <v>1.2951388888888893</v>
      </c>
    </row>
    <row r="71" spans="2:15" ht="15.75" thickBot="1" x14ac:dyDescent="0.3">
      <c r="B71" s="53">
        <v>46017</v>
      </c>
      <c r="C71" s="3" t="s">
        <v>49</v>
      </c>
      <c r="D71" s="4" t="s">
        <v>38</v>
      </c>
      <c r="E71" s="24">
        <v>0</v>
      </c>
      <c r="F71" s="24">
        <v>0</v>
      </c>
      <c r="G71" s="25" t="s">
        <v>20</v>
      </c>
      <c r="H71" s="24" t="s">
        <v>16</v>
      </c>
      <c r="I71" s="24" t="s">
        <v>16</v>
      </c>
      <c r="J71" s="26"/>
      <c r="K71" s="27"/>
      <c r="L71" s="27"/>
      <c r="M71" s="34" t="s">
        <v>19</v>
      </c>
      <c r="N71" s="29"/>
      <c r="O71" s="30"/>
    </row>
    <row r="72" spans="2:15" ht="15.75" x14ac:dyDescent="0.25">
      <c r="B72" s="76" t="s">
        <v>57</v>
      </c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1"/>
      <c r="O72" s="20"/>
    </row>
    <row r="73" spans="2:15" x14ac:dyDescent="0.25">
      <c r="B73" s="67" t="s">
        <v>1</v>
      </c>
      <c r="C73" s="55" t="s">
        <v>2</v>
      </c>
      <c r="D73" s="55" t="s">
        <v>3</v>
      </c>
      <c r="E73" s="63" t="s">
        <v>4</v>
      </c>
      <c r="F73" s="64"/>
      <c r="G73" s="59" t="s">
        <v>5</v>
      </c>
      <c r="H73" s="61" t="s">
        <v>6</v>
      </c>
      <c r="I73" s="59" t="s">
        <v>7</v>
      </c>
      <c r="J73" s="59" t="s">
        <v>8</v>
      </c>
      <c r="K73" s="55" t="s">
        <v>9</v>
      </c>
      <c r="L73" s="55" t="s">
        <v>10</v>
      </c>
      <c r="M73" s="61" t="s">
        <v>11</v>
      </c>
      <c r="N73" s="61" t="s">
        <v>12</v>
      </c>
      <c r="O73" s="65" t="s">
        <v>13</v>
      </c>
    </row>
    <row r="74" spans="2:15" x14ac:dyDescent="0.25">
      <c r="B74" s="68"/>
      <c r="C74" s="56"/>
      <c r="D74" s="56"/>
      <c r="E74" s="2" t="s">
        <v>14</v>
      </c>
      <c r="F74" s="2" t="s">
        <v>15</v>
      </c>
      <c r="G74" s="60"/>
      <c r="H74" s="62"/>
      <c r="I74" s="60"/>
      <c r="J74" s="60"/>
      <c r="K74" s="56"/>
      <c r="L74" s="56"/>
      <c r="M74" s="62"/>
      <c r="N74" s="62"/>
      <c r="O74" s="66"/>
    </row>
    <row r="75" spans="2:15" x14ac:dyDescent="0.25">
      <c r="B75" s="53">
        <v>46018</v>
      </c>
      <c r="C75" s="3" t="s">
        <v>49</v>
      </c>
      <c r="D75" s="4" t="s">
        <v>38</v>
      </c>
      <c r="E75" s="5">
        <v>4</v>
      </c>
      <c r="F75" s="5">
        <v>5</v>
      </c>
      <c r="G75" s="6" t="s">
        <v>26</v>
      </c>
      <c r="H75" s="5" t="s">
        <v>16</v>
      </c>
      <c r="I75" s="5" t="s">
        <v>16</v>
      </c>
      <c r="J75" s="7" t="s">
        <v>17</v>
      </c>
      <c r="K75" s="14">
        <v>9.6458333333333339</v>
      </c>
      <c r="L75" s="14">
        <v>10.815972222222221</v>
      </c>
      <c r="M75" s="33" t="s">
        <v>22</v>
      </c>
      <c r="N75" s="15">
        <f>(L1067-K1067)-TIME(9,0,0)</f>
        <v>-0.375</v>
      </c>
      <c r="O75" s="22">
        <f>L75-K75</f>
        <v>1.1701388888888875</v>
      </c>
    </row>
    <row r="76" spans="2:15" ht="15.75" thickBot="1" x14ac:dyDescent="0.3">
      <c r="B76" s="53">
        <v>46018</v>
      </c>
      <c r="C76" s="3" t="s">
        <v>49</v>
      </c>
      <c r="D76" s="4" t="s">
        <v>38</v>
      </c>
      <c r="E76" s="24">
        <v>0</v>
      </c>
      <c r="F76" s="24">
        <v>0</v>
      </c>
      <c r="G76" s="25" t="s">
        <v>20</v>
      </c>
      <c r="H76" s="24" t="s">
        <v>16</v>
      </c>
      <c r="I76" s="24" t="s">
        <v>16</v>
      </c>
      <c r="J76" s="26"/>
      <c r="K76" s="27"/>
      <c r="L76" s="27"/>
      <c r="M76" s="34" t="s">
        <v>19</v>
      </c>
      <c r="N76" s="29"/>
      <c r="O76" s="30"/>
    </row>
    <row r="77" spans="2:15" ht="15.75" x14ac:dyDescent="0.25">
      <c r="B77" s="76" t="s">
        <v>57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1"/>
      <c r="O77" s="20"/>
    </row>
    <row r="78" spans="2:15" x14ac:dyDescent="0.25">
      <c r="B78" s="67" t="s">
        <v>1</v>
      </c>
      <c r="C78" s="55" t="s">
        <v>2</v>
      </c>
      <c r="D78" s="55" t="s">
        <v>3</v>
      </c>
      <c r="E78" s="63" t="s">
        <v>4</v>
      </c>
      <c r="F78" s="64"/>
      <c r="G78" s="59" t="s">
        <v>5</v>
      </c>
      <c r="H78" s="61" t="s">
        <v>6</v>
      </c>
      <c r="I78" s="59" t="s">
        <v>7</v>
      </c>
      <c r="J78" s="59" t="s">
        <v>8</v>
      </c>
      <c r="K78" s="55" t="s">
        <v>9</v>
      </c>
      <c r="L78" s="55" t="s">
        <v>10</v>
      </c>
      <c r="M78" s="61" t="s">
        <v>11</v>
      </c>
      <c r="N78" s="61" t="s">
        <v>12</v>
      </c>
      <c r="O78" s="65" t="s">
        <v>13</v>
      </c>
    </row>
    <row r="79" spans="2:15" x14ac:dyDescent="0.25">
      <c r="B79" s="68"/>
      <c r="C79" s="56"/>
      <c r="D79" s="56"/>
      <c r="E79" s="2" t="s">
        <v>14</v>
      </c>
      <c r="F79" s="2" t="s">
        <v>15</v>
      </c>
      <c r="G79" s="60"/>
      <c r="H79" s="62"/>
      <c r="I79" s="60"/>
      <c r="J79" s="60"/>
      <c r="K79" s="56"/>
      <c r="L79" s="56"/>
      <c r="M79" s="62"/>
      <c r="N79" s="62"/>
      <c r="O79" s="66"/>
    </row>
    <row r="80" spans="2:15" x14ac:dyDescent="0.25">
      <c r="B80" s="53">
        <v>46019</v>
      </c>
      <c r="C80" s="3" t="s">
        <v>49</v>
      </c>
      <c r="D80" s="4" t="s">
        <v>38</v>
      </c>
      <c r="E80" s="5">
        <v>5</v>
      </c>
      <c r="F80" s="5">
        <v>30</v>
      </c>
      <c r="G80" s="6" t="s">
        <v>26</v>
      </c>
      <c r="H80" s="5" t="s">
        <v>16</v>
      </c>
      <c r="I80" s="5" t="s">
        <v>16</v>
      </c>
      <c r="J80" s="7" t="s">
        <v>17</v>
      </c>
      <c r="K80" s="14">
        <v>9.6041666666666661</v>
      </c>
      <c r="L80" s="14">
        <v>10.833333333333334</v>
      </c>
      <c r="M80" s="33" t="s">
        <v>23</v>
      </c>
      <c r="N80" s="15">
        <f>(L1072-K1072)-TIME(9,0,0)</f>
        <v>-0.375</v>
      </c>
      <c r="O80" s="22">
        <f>L80-K80</f>
        <v>1.2291666666666679</v>
      </c>
    </row>
    <row r="81" spans="2:17" ht="15.75" thickBot="1" x14ac:dyDescent="0.3">
      <c r="B81" s="53">
        <v>46019</v>
      </c>
      <c r="C81" s="3" t="s">
        <v>49</v>
      </c>
      <c r="D81" s="4" t="s">
        <v>38</v>
      </c>
      <c r="E81" s="24">
        <v>0</v>
      </c>
      <c r="F81" s="24">
        <v>0</v>
      </c>
      <c r="G81" s="25" t="s">
        <v>20</v>
      </c>
      <c r="H81" s="24" t="s">
        <v>16</v>
      </c>
      <c r="I81" s="24" t="s">
        <v>16</v>
      </c>
      <c r="J81" s="26"/>
      <c r="K81" s="27"/>
      <c r="L81" s="27"/>
      <c r="M81" s="34" t="s">
        <v>19</v>
      </c>
      <c r="N81" s="29"/>
      <c r="O81" s="30"/>
    </row>
    <row r="82" spans="2:17" ht="15.75" x14ac:dyDescent="0.25">
      <c r="B82" s="76" t="s">
        <v>57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1"/>
      <c r="O82" s="20"/>
    </row>
    <row r="83" spans="2:17" x14ac:dyDescent="0.25">
      <c r="B83" s="67" t="s">
        <v>1</v>
      </c>
      <c r="C83" s="55" t="s">
        <v>2</v>
      </c>
      <c r="D83" s="55" t="s">
        <v>3</v>
      </c>
      <c r="E83" s="63" t="s">
        <v>4</v>
      </c>
      <c r="F83" s="64"/>
      <c r="G83" s="59" t="s">
        <v>5</v>
      </c>
      <c r="H83" s="61" t="s">
        <v>6</v>
      </c>
      <c r="I83" s="59" t="s">
        <v>7</v>
      </c>
      <c r="J83" s="59" t="s">
        <v>8</v>
      </c>
      <c r="K83" s="55" t="s">
        <v>9</v>
      </c>
      <c r="L83" s="55" t="s">
        <v>10</v>
      </c>
      <c r="M83" s="61" t="s">
        <v>11</v>
      </c>
      <c r="N83" s="61" t="s">
        <v>12</v>
      </c>
      <c r="O83" s="65" t="s">
        <v>13</v>
      </c>
    </row>
    <row r="84" spans="2:17" x14ac:dyDescent="0.25">
      <c r="B84" s="68"/>
      <c r="C84" s="56"/>
      <c r="D84" s="56"/>
      <c r="E84" s="2" t="s">
        <v>14</v>
      </c>
      <c r="F84" s="2" t="s">
        <v>15</v>
      </c>
      <c r="G84" s="60"/>
      <c r="H84" s="62"/>
      <c r="I84" s="60"/>
      <c r="J84" s="60"/>
      <c r="K84" s="56"/>
      <c r="L84" s="56"/>
      <c r="M84" s="62"/>
      <c r="N84" s="62"/>
      <c r="O84" s="66"/>
    </row>
    <row r="85" spans="2:17" x14ac:dyDescent="0.25">
      <c r="B85" s="53">
        <v>46021</v>
      </c>
      <c r="C85" s="3" t="s">
        <v>49</v>
      </c>
      <c r="D85" s="4" t="s">
        <v>38</v>
      </c>
      <c r="E85" s="5">
        <v>6</v>
      </c>
      <c r="F85" s="5">
        <v>30</v>
      </c>
      <c r="G85" s="6" t="s">
        <v>26</v>
      </c>
      <c r="H85" s="5" t="s">
        <v>16</v>
      </c>
      <c r="I85" s="5" t="s">
        <v>16</v>
      </c>
      <c r="J85" s="7" t="s">
        <v>17</v>
      </c>
      <c r="K85" s="14">
        <v>9.3333333333333339</v>
      </c>
      <c r="L85" s="14">
        <v>10.604166666666666</v>
      </c>
      <c r="M85" s="33" t="s">
        <v>18</v>
      </c>
      <c r="N85" s="15">
        <f>(L1077-K1077)-TIME(9,0,0)</f>
        <v>-0.375</v>
      </c>
      <c r="O85" s="22">
        <f>L85-K85</f>
        <v>1.2708333333333321</v>
      </c>
    </row>
    <row r="86" spans="2:17" ht="15.75" thickBot="1" x14ac:dyDescent="0.3">
      <c r="B86" s="53">
        <v>46021</v>
      </c>
      <c r="C86" s="3" t="s">
        <v>49</v>
      </c>
      <c r="D86" s="4" t="s">
        <v>38</v>
      </c>
      <c r="E86" s="24">
        <v>0</v>
      </c>
      <c r="F86" s="24">
        <v>0</v>
      </c>
      <c r="G86" s="25" t="s">
        <v>20</v>
      </c>
      <c r="H86" s="24" t="s">
        <v>16</v>
      </c>
      <c r="I86" s="24" t="s">
        <v>16</v>
      </c>
      <c r="J86" s="26"/>
      <c r="K86" s="27"/>
      <c r="L86" s="27"/>
      <c r="M86" s="34" t="s">
        <v>19</v>
      </c>
      <c r="N86" s="29"/>
      <c r="O86" s="30"/>
    </row>
    <row r="87" spans="2:17" ht="15.75" x14ac:dyDescent="0.25">
      <c r="B87" s="76" t="s">
        <v>57</v>
      </c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1"/>
      <c r="O87" s="20"/>
    </row>
    <row r="88" spans="2:17" x14ac:dyDescent="0.25">
      <c r="B88" s="67" t="s">
        <v>1</v>
      </c>
      <c r="C88" s="55" t="s">
        <v>2</v>
      </c>
      <c r="D88" s="55" t="s">
        <v>3</v>
      </c>
      <c r="E88" s="63" t="s">
        <v>4</v>
      </c>
      <c r="F88" s="64"/>
      <c r="G88" s="59" t="s">
        <v>5</v>
      </c>
      <c r="H88" s="61" t="s">
        <v>6</v>
      </c>
      <c r="I88" s="59" t="s">
        <v>7</v>
      </c>
      <c r="J88" s="59" t="s">
        <v>8</v>
      </c>
      <c r="K88" s="55" t="s">
        <v>9</v>
      </c>
      <c r="L88" s="55" t="s">
        <v>10</v>
      </c>
      <c r="M88" s="61" t="s">
        <v>11</v>
      </c>
      <c r="N88" s="61" t="s">
        <v>12</v>
      </c>
      <c r="O88" s="65" t="s">
        <v>13</v>
      </c>
      <c r="P88" s="2" t="s">
        <v>14</v>
      </c>
      <c r="Q88" s="2" t="s">
        <v>15</v>
      </c>
    </row>
    <row r="89" spans="2:17" x14ac:dyDescent="0.25">
      <c r="B89" s="68"/>
      <c r="C89" s="56"/>
      <c r="D89" s="56"/>
      <c r="E89" s="2" t="s">
        <v>14</v>
      </c>
      <c r="F89" s="2" t="s">
        <v>15</v>
      </c>
      <c r="G89" s="60"/>
      <c r="H89" s="62"/>
      <c r="I89" s="60"/>
      <c r="J89" s="60"/>
      <c r="K89" s="56"/>
      <c r="L89" s="56"/>
      <c r="M89" s="62"/>
      <c r="N89" s="62"/>
      <c r="O89" s="66"/>
      <c r="P89" s="45">
        <f>SUM(E90:E91,E85:E86,E80:E81,E75:E76,E70:E71,E65:E66,E60:E61,E55:E56,E49:E50,E44:E45,E39:E40,E34:E35,E29:E30,E24:E25,E19:E20,E14:E15)</f>
        <v>91</v>
      </c>
      <c r="Q89" s="45">
        <f>SUM(F90:F91,F85:F86,F80:F81,F75:F76,F70:F71,F65:F66,F60:F61,F55:F56,F49:F50,F44:F45,F39:F40,F34:F35,F29:F30,F24:F25,F19:F20,F14:F15)</f>
        <v>115</v>
      </c>
    </row>
    <row r="90" spans="2:17" x14ac:dyDescent="0.25">
      <c r="B90" s="53">
        <v>46022</v>
      </c>
      <c r="C90" s="3" t="s">
        <v>49</v>
      </c>
      <c r="D90" s="4" t="s">
        <v>38</v>
      </c>
      <c r="E90" s="5">
        <v>3</v>
      </c>
      <c r="F90" s="5">
        <v>15</v>
      </c>
      <c r="G90" s="6" t="s">
        <v>26</v>
      </c>
      <c r="H90" s="5" t="s">
        <v>16</v>
      </c>
      <c r="I90" s="5" t="s">
        <v>16</v>
      </c>
      <c r="J90" s="7" t="s">
        <v>17</v>
      </c>
      <c r="K90" s="14">
        <v>9.6145833333333339</v>
      </c>
      <c r="L90" s="14">
        <v>10.75</v>
      </c>
      <c r="M90" s="33" t="s">
        <v>27</v>
      </c>
      <c r="N90" s="15">
        <f>(L1082-K1082)-TIME(9,0,0)</f>
        <v>-0.375</v>
      </c>
      <c r="O90" s="22">
        <f>L90-K90</f>
        <v>1.1354166666666661</v>
      </c>
      <c r="P90" s="46"/>
      <c r="Q90" s="46">
        <f>Q89/60</f>
        <v>1.9166666666666667</v>
      </c>
    </row>
    <row r="91" spans="2:17" ht="15.75" thickBot="1" x14ac:dyDescent="0.3">
      <c r="B91" s="53">
        <v>46022</v>
      </c>
      <c r="C91" s="3" t="s">
        <v>49</v>
      </c>
      <c r="D91" s="4" t="s">
        <v>38</v>
      </c>
      <c r="E91" s="24">
        <v>0</v>
      </c>
      <c r="F91" s="24">
        <v>0</v>
      </c>
      <c r="G91" s="25" t="s">
        <v>20</v>
      </c>
      <c r="H91" s="24" t="s">
        <v>16</v>
      </c>
      <c r="I91" s="24" t="s">
        <v>16</v>
      </c>
      <c r="J91" s="26"/>
      <c r="K91" s="27"/>
      <c r="L91" s="27"/>
      <c r="M91" s="34" t="s">
        <v>19</v>
      </c>
      <c r="N91" s="29"/>
      <c r="O91" s="30"/>
      <c r="P91" s="13" t="s">
        <v>21</v>
      </c>
      <c r="Q91" s="70">
        <f>P89+Q90</f>
        <v>92.916666666666671</v>
      </c>
    </row>
    <row r="92" spans="2:17" x14ac:dyDescent="0.25">
      <c r="B92" s="54"/>
      <c r="C92" s="8"/>
      <c r="D92" s="9"/>
      <c r="E92" s="10">
        <f>SUM(E90:E91)</f>
        <v>3</v>
      </c>
      <c r="F92" s="10">
        <f>SUM(F90:F91)</f>
        <v>15</v>
      </c>
      <c r="G92" s="11"/>
      <c r="H92" s="11"/>
      <c r="I92" s="11"/>
      <c r="J92" s="11"/>
      <c r="K92" s="12"/>
      <c r="L92" s="12"/>
      <c r="M92" s="9"/>
      <c r="N92" s="9"/>
      <c r="O92" s="9"/>
    </row>
    <row r="93" spans="2:17" x14ac:dyDescent="0.25">
      <c r="B93" s="54"/>
      <c r="C93" s="8"/>
      <c r="D93" s="9"/>
      <c r="E93" s="11"/>
      <c r="F93" s="11">
        <f>F92/60</f>
        <v>0.25</v>
      </c>
      <c r="G93" s="11"/>
      <c r="H93" s="11"/>
      <c r="I93" s="11"/>
      <c r="J93" s="11"/>
      <c r="K93" s="12"/>
      <c r="L93" s="12"/>
      <c r="M93" s="9"/>
      <c r="N93" s="9"/>
      <c r="O93" s="9"/>
    </row>
    <row r="94" spans="2:17" x14ac:dyDescent="0.25">
      <c r="B94" s="54"/>
      <c r="C94" s="8"/>
      <c r="D94" s="9"/>
      <c r="E94" s="13" t="s">
        <v>21</v>
      </c>
      <c r="F94" s="13">
        <f>E92+F93</f>
        <v>3.25</v>
      </c>
      <c r="G94" s="11"/>
      <c r="H94" s="11"/>
      <c r="I94" s="11"/>
      <c r="J94" s="11"/>
      <c r="K94" s="12"/>
      <c r="L94" s="12"/>
      <c r="M94" s="9"/>
      <c r="N94" s="9"/>
      <c r="O94" s="41"/>
    </row>
  </sheetData>
  <mergeCells count="123">
    <mergeCell ref="E42:F42"/>
    <mergeCell ref="D42:D43"/>
    <mergeCell ref="C42:C43"/>
    <mergeCell ref="B42:B43"/>
    <mergeCell ref="B41:M41"/>
    <mergeCell ref="O47:O48"/>
    <mergeCell ref="N47:N48"/>
    <mergeCell ref="M47:M48"/>
    <mergeCell ref="L47:L48"/>
    <mergeCell ref="K47:K48"/>
    <mergeCell ref="C47:C48"/>
    <mergeCell ref="B47:B48"/>
    <mergeCell ref="B46:M46"/>
    <mergeCell ref="J47:J48"/>
    <mergeCell ref="I47:I48"/>
    <mergeCell ref="H47:H48"/>
    <mergeCell ref="G47:G48"/>
    <mergeCell ref="E47:F47"/>
    <mergeCell ref="D47:D48"/>
    <mergeCell ref="O42:O43"/>
    <mergeCell ref="N42:N43"/>
    <mergeCell ref="M42:M43"/>
    <mergeCell ref="L42:L43"/>
    <mergeCell ref="K42:K43"/>
    <mergeCell ref="J42:J43"/>
    <mergeCell ref="I42:I43"/>
    <mergeCell ref="H42:H43"/>
    <mergeCell ref="G42:G43"/>
    <mergeCell ref="C32:C33"/>
    <mergeCell ref="B32:B33"/>
    <mergeCell ref="B31:M31"/>
    <mergeCell ref="O37:O38"/>
    <mergeCell ref="N37:N38"/>
    <mergeCell ref="M37:M38"/>
    <mergeCell ref="L37:L38"/>
    <mergeCell ref="K37:K38"/>
    <mergeCell ref="J37:J38"/>
    <mergeCell ref="I37:I38"/>
    <mergeCell ref="J32:J33"/>
    <mergeCell ref="I32:I33"/>
    <mergeCell ref="H32:H33"/>
    <mergeCell ref="G32:G33"/>
    <mergeCell ref="E32:F32"/>
    <mergeCell ref="D32:D33"/>
    <mergeCell ref="B36:M36"/>
    <mergeCell ref="H37:H38"/>
    <mergeCell ref="G37:G38"/>
    <mergeCell ref="E37:F37"/>
    <mergeCell ref="D37:D38"/>
    <mergeCell ref="C37:C38"/>
    <mergeCell ref="B37:B38"/>
    <mergeCell ref="K22:K23"/>
    <mergeCell ref="L22:L23"/>
    <mergeCell ref="M22:M23"/>
    <mergeCell ref="N22:N23"/>
    <mergeCell ref="O22:O23"/>
    <mergeCell ref="O32:O33"/>
    <mergeCell ref="N32:N33"/>
    <mergeCell ref="M32:M33"/>
    <mergeCell ref="L32:L33"/>
    <mergeCell ref="K32:K33"/>
    <mergeCell ref="B22:B23"/>
    <mergeCell ref="C22:C23"/>
    <mergeCell ref="D22:D23"/>
    <mergeCell ref="E22:F22"/>
    <mergeCell ref="G22:G23"/>
    <mergeCell ref="H22:H23"/>
    <mergeCell ref="I22:I23"/>
    <mergeCell ref="J22:J23"/>
    <mergeCell ref="I17:I18"/>
    <mergeCell ref="J17:J18"/>
    <mergeCell ref="B17:B18"/>
    <mergeCell ref="C17:C18"/>
    <mergeCell ref="D17:D18"/>
    <mergeCell ref="E17:F17"/>
    <mergeCell ref="G17:G18"/>
    <mergeCell ref="H17:H18"/>
    <mergeCell ref="C12:C13"/>
    <mergeCell ref="D12:D13"/>
    <mergeCell ref="E12:F12"/>
    <mergeCell ref="G12:G13"/>
    <mergeCell ref="H12:H13"/>
    <mergeCell ref="I12:I13"/>
    <mergeCell ref="J12:J13"/>
    <mergeCell ref="O17:O18"/>
    <mergeCell ref="B21:M21"/>
    <mergeCell ref="K17:K18"/>
    <mergeCell ref="L17:L18"/>
    <mergeCell ref="M17:M18"/>
    <mergeCell ref="N17:N18"/>
    <mergeCell ref="C4:D4"/>
    <mergeCell ref="J27:J28"/>
    <mergeCell ref="K27:K28"/>
    <mergeCell ref="L27:L28"/>
    <mergeCell ref="M27:M28"/>
    <mergeCell ref="N27:N28"/>
    <mergeCell ref="O27:O28"/>
    <mergeCell ref="B26:M26"/>
    <mergeCell ref="B27:B28"/>
    <mergeCell ref="C27:C28"/>
    <mergeCell ref="D27:D28"/>
    <mergeCell ref="E27:F27"/>
    <mergeCell ref="G27:G28"/>
    <mergeCell ref="H27:H28"/>
    <mergeCell ref="I27:I28"/>
    <mergeCell ref="K12:K13"/>
    <mergeCell ref="L12:L13"/>
    <mergeCell ref="M12:M13"/>
    <mergeCell ref="N12:N13"/>
    <mergeCell ref="O12:O13"/>
    <mergeCell ref="B16:M16"/>
    <mergeCell ref="B10:O10"/>
    <mergeCell ref="B11:M11"/>
    <mergeCell ref="B12:B13"/>
    <mergeCell ref="B87:M87"/>
    <mergeCell ref="B51:M51"/>
    <mergeCell ref="B52:M52"/>
    <mergeCell ref="B57:M57"/>
    <mergeCell ref="B62:M62"/>
    <mergeCell ref="B67:M67"/>
    <mergeCell ref="B72:M72"/>
    <mergeCell ref="B77:M77"/>
    <mergeCell ref="B82:M82"/>
  </mergeCells>
  <pageMargins left="0.7" right="0.7" top="0.75" bottom="0.75" header="0.3" footer="0.3"/>
  <pageSetup paperSize="9" scale="40" orientation="portrait" horizontalDpi="0" verticalDpi="0" r:id="rId1"/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F161-B290-4108-902E-7084301B062B}">
  <sheetPr>
    <pageSetUpPr fitToPage="1"/>
  </sheetPr>
  <dimension ref="B2:Q71"/>
  <sheetViews>
    <sheetView view="pageBreakPreview" topLeftCell="A61" zoomScaleNormal="100" zoomScaleSheetLayoutView="100" workbookViewId="0">
      <selection activeCell="B110" sqref="B110"/>
    </sheetView>
  </sheetViews>
  <sheetFormatPr defaultColWidth="23.5703125" defaultRowHeight="15" x14ac:dyDescent="0.25"/>
  <cols>
    <col min="2" max="2" width="30.85546875" bestFit="1" customWidth="1"/>
    <col min="3" max="3" width="8.85546875" customWidth="1"/>
    <col min="4" max="4" width="15.85546875" customWidth="1"/>
    <col min="5" max="5" width="14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35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37" t="s">
        <v>42</v>
      </c>
      <c r="C4" s="38" t="s">
        <v>38</v>
      </c>
      <c r="D4" s="38"/>
      <c r="E4" s="32"/>
      <c r="O4" s="18"/>
    </row>
    <row r="5" spans="2:15" ht="20.25" x14ac:dyDescent="0.3">
      <c r="B5" s="37" t="s">
        <v>33</v>
      </c>
      <c r="C5" s="38"/>
      <c r="D5" s="38"/>
      <c r="E5" s="32"/>
      <c r="O5" s="18"/>
    </row>
    <row r="6" spans="2:15" ht="20.25" x14ac:dyDescent="0.3">
      <c r="B6" s="37" t="s">
        <v>40</v>
      </c>
      <c r="C6" s="38"/>
      <c r="D6" s="38"/>
      <c r="E6" s="42">
        <f>Q30</f>
        <v>42</v>
      </c>
      <c r="O6" s="18"/>
    </row>
    <row r="7" spans="2:15" ht="20.25" x14ac:dyDescent="0.3">
      <c r="B7" s="37" t="s">
        <v>41</v>
      </c>
      <c r="C7" s="38"/>
      <c r="D7" s="38"/>
      <c r="E7" s="43">
        <f>Q57</f>
        <v>68</v>
      </c>
      <c r="O7" s="18"/>
    </row>
    <row r="8" spans="2:15" ht="21" thickBot="1" x14ac:dyDescent="0.35">
      <c r="B8" s="39" t="s">
        <v>30</v>
      </c>
      <c r="C8" s="40"/>
      <c r="D8" s="40"/>
      <c r="E8" s="44">
        <f>E6+E7</f>
        <v>110</v>
      </c>
      <c r="O8" s="18"/>
    </row>
    <row r="9" spans="2:15" x14ac:dyDescent="0.25">
      <c r="B9" s="19"/>
      <c r="O9" s="18"/>
    </row>
    <row r="10" spans="2:15" x14ac:dyDescent="0.25">
      <c r="B10" s="19"/>
      <c r="O10" s="18"/>
    </row>
    <row r="11" spans="2:15" ht="60.75" customHeight="1" x14ac:dyDescent="0.25">
      <c r="B11" s="78" t="s">
        <v>45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</row>
    <row r="12" spans="2:15" ht="15.75" x14ac:dyDescent="0.25">
      <c r="B12" s="76" t="s">
        <v>33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1"/>
      <c r="O12" s="20"/>
    </row>
    <row r="13" spans="2:15" x14ac:dyDescent="0.25">
      <c r="B13" s="91" t="s">
        <v>1</v>
      </c>
      <c r="C13" s="85" t="s">
        <v>2</v>
      </c>
      <c r="D13" s="85" t="s">
        <v>3</v>
      </c>
      <c r="E13" s="89" t="s">
        <v>4</v>
      </c>
      <c r="F13" s="90"/>
      <c r="G13" s="87" t="s">
        <v>5</v>
      </c>
      <c r="H13" s="83" t="s">
        <v>6</v>
      </c>
      <c r="I13" s="87" t="s">
        <v>7</v>
      </c>
      <c r="J13" s="87" t="s">
        <v>8</v>
      </c>
      <c r="K13" s="85" t="s">
        <v>9</v>
      </c>
      <c r="L13" s="85" t="s">
        <v>10</v>
      </c>
      <c r="M13" s="83" t="s">
        <v>11</v>
      </c>
      <c r="N13" s="83" t="s">
        <v>12</v>
      </c>
      <c r="O13" s="81" t="s">
        <v>13</v>
      </c>
    </row>
    <row r="14" spans="2:15" x14ac:dyDescent="0.25">
      <c r="B14" s="92"/>
      <c r="C14" s="86"/>
      <c r="D14" s="86"/>
      <c r="E14" s="2" t="s">
        <v>14</v>
      </c>
      <c r="F14" s="2" t="s">
        <v>15</v>
      </c>
      <c r="G14" s="88"/>
      <c r="H14" s="84"/>
      <c r="I14" s="88"/>
      <c r="J14" s="88"/>
      <c r="K14" s="86"/>
      <c r="L14" s="86"/>
      <c r="M14" s="84"/>
      <c r="N14" s="84"/>
      <c r="O14" s="82"/>
    </row>
    <row r="15" spans="2:15" x14ac:dyDescent="0.25">
      <c r="B15" s="21">
        <v>45951</v>
      </c>
      <c r="C15" s="3" t="s">
        <v>34</v>
      </c>
      <c r="D15" s="4" t="s">
        <v>38</v>
      </c>
      <c r="E15" s="5">
        <v>5</v>
      </c>
      <c r="F15" s="5">
        <v>0</v>
      </c>
      <c r="G15" s="6" t="s">
        <v>26</v>
      </c>
      <c r="H15" s="5" t="s">
        <v>16</v>
      </c>
      <c r="I15" s="5" t="s">
        <v>16</v>
      </c>
      <c r="J15" s="7" t="s">
        <v>17</v>
      </c>
      <c r="K15" s="14">
        <v>9.7083333333333339</v>
      </c>
      <c r="L15" s="14">
        <v>10.916666666666666</v>
      </c>
      <c r="M15" s="33" t="s">
        <v>18</v>
      </c>
      <c r="N15" s="15">
        <f>(L951-K951)-TIME(9,0,0)</f>
        <v>-0.375</v>
      </c>
      <c r="O15" s="22">
        <f>L15-K15</f>
        <v>1.2083333333333321</v>
      </c>
    </row>
    <row r="16" spans="2:15" ht="30.75" thickBot="1" x14ac:dyDescent="0.3">
      <c r="B16" s="21">
        <v>45951</v>
      </c>
      <c r="C16" s="23" t="s">
        <v>34</v>
      </c>
      <c r="D16" s="4" t="s">
        <v>38</v>
      </c>
      <c r="E16" s="24">
        <v>0</v>
      </c>
      <c r="F16" s="24">
        <v>0</v>
      </c>
      <c r="G16" s="25" t="s">
        <v>20</v>
      </c>
      <c r="H16" s="24" t="s">
        <v>16</v>
      </c>
      <c r="I16" s="24" t="s">
        <v>16</v>
      </c>
      <c r="J16" s="26"/>
      <c r="K16" s="27"/>
      <c r="L16" s="27"/>
      <c r="M16" s="28"/>
      <c r="N16" s="29"/>
      <c r="O16" s="30"/>
    </row>
    <row r="17" spans="2:17" ht="15.75" x14ac:dyDescent="0.25">
      <c r="B17" s="99" t="s">
        <v>33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"/>
      <c r="O17" s="20"/>
    </row>
    <row r="18" spans="2:17" x14ac:dyDescent="0.25">
      <c r="B18" s="91" t="s">
        <v>1</v>
      </c>
      <c r="C18" s="85" t="s">
        <v>2</v>
      </c>
      <c r="D18" s="85" t="s">
        <v>3</v>
      </c>
      <c r="E18" s="89" t="s">
        <v>4</v>
      </c>
      <c r="F18" s="90"/>
      <c r="G18" s="87" t="s">
        <v>5</v>
      </c>
      <c r="H18" s="83" t="s">
        <v>6</v>
      </c>
      <c r="I18" s="87" t="s">
        <v>7</v>
      </c>
      <c r="J18" s="87" t="s">
        <v>8</v>
      </c>
      <c r="K18" s="85" t="s">
        <v>9</v>
      </c>
      <c r="L18" s="85" t="s">
        <v>10</v>
      </c>
      <c r="M18" s="83" t="s">
        <v>11</v>
      </c>
      <c r="N18" s="83" t="s">
        <v>12</v>
      </c>
      <c r="O18" s="81" t="s">
        <v>13</v>
      </c>
    </row>
    <row r="19" spans="2:17" x14ac:dyDescent="0.25">
      <c r="B19" s="92"/>
      <c r="C19" s="86"/>
      <c r="D19" s="86"/>
      <c r="E19" s="2" t="s">
        <v>14</v>
      </c>
      <c r="F19" s="2" t="s">
        <v>15</v>
      </c>
      <c r="G19" s="88"/>
      <c r="H19" s="84"/>
      <c r="I19" s="88"/>
      <c r="J19" s="88"/>
      <c r="K19" s="86"/>
      <c r="L19" s="86"/>
      <c r="M19" s="84"/>
      <c r="N19" s="84"/>
      <c r="O19" s="82"/>
    </row>
    <row r="20" spans="2:17" x14ac:dyDescent="0.25">
      <c r="B20" s="21">
        <v>45952</v>
      </c>
      <c r="C20" s="3" t="s">
        <v>34</v>
      </c>
      <c r="D20" s="4" t="s">
        <v>38</v>
      </c>
      <c r="E20" s="5">
        <v>5</v>
      </c>
      <c r="F20" s="5">
        <v>0</v>
      </c>
      <c r="G20" s="6" t="s">
        <v>26</v>
      </c>
      <c r="H20" s="5" t="s">
        <v>16</v>
      </c>
      <c r="I20" s="5" t="s">
        <v>16</v>
      </c>
      <c r="J20" s="7" t="s">
        <v>17</v>
      </c>
      <c r="K20" s="14">
        <v>9.7083333333333339</v>
      </c>
      <c r="L20" s="14">
        <v>10.916666666666666</v>
      </c>
      <c r="M20" s="33" t="s">
        <v>27</v>
      </c>
      <c r="N20" s="15">
        <f>(L1042-K1042)-TIME(9,0,0)</f>
        <v>-0.375</v>
      </c>
      <c r="O20" s="22">
        <f>L20-K20</f>
        <v>1.2083333333333321</v>
      </c>
    </row>
    <row r="21" spans="2:17" ht="15.75" thickBot="1" x14ac:dyDescent="0.3">
      <c r="B21" s="21">
        <v>45952</v>
      </c>
      <c r="C21" s="23" t="s">
        <v>34</v>
      </c>
      <c r="D21" s="4" t="s">
        <v>38</v>
      </c>
      <c r="E21" s="24">
        <v>0</v>
      </c>
      <c r="F21" s="24">
        <v>0</v>
      </c>
      <c r="G21" s="25" t="s">
        <v>20</v>
      </c>
      <c r="H21" s="24" t="s">
        <v>16</v>
      </c>
      <c r="I21" s="24" t="s">
        <v>16</v>
      </c>
      <c r="J21" s="26"/>
      <c r="K21" s="27"/>
      <c r="L21" s="27"/>
      <c r="M21" s="34" t="s">
        <v>19</v>
      </c>
      <c r="N21" s="29"/>
      <c r="O21" s="30"/>
    </row>
    <row r="22" spans="2:17" ht="15.75" x14ac:dyDescent="0.25">
      <c r="B22" s="99" t="s">
        <v>33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"/>
      <c r="O22" s="20"/>
    </row>
    <row r="23" spans="2:17" x14ac:dyDescent="0.25">
      <c r="B23" s="91" t="s">
        <v>1</v>
      </c>
      <c r="C23" s="85" t="s">
        <v>2</v>
      </c>
      <c r="D23" s="85" t="s">
        <v>3</v>
      </c>
      <c r="E23" s="89" t="s">
        <v>4</v>
      </c>
      <c r="F23" s="90"/>
      <c r="G23" s="87" t="s">
        <v>5</v>
      </c>
      <c r="H23" s="83" t="s">
        <v>6</v>
      </c>
      <c r="I23" s="87" t="s">
        <v>7</v>
      </c>
      <c r="J23" s="87" t="s">
        <v>8</v>
      </c>
      <c r="K23" s="85" t="s">
        <v>9</v>
      </c>
      <c r="L23" s="85" t="s">
        <v>10</v>
      </c>
      <c r="M23" s="83" t="s">
        <v>11</v>
      </c>
      <c r="N23" s="83" t="s">
        <v>12</v>
      </c>
      <c r="O23" s="81" t="s">
        <v>13</v>
      </c>
    </row>
    <row r="24" spans="2:17" x14ac:dyDescent="0.25">
      <c r="B24" s="92"/>
      <c r="C24" s="86"/>
      <c r="D24" s="86"/>
      <c r="E24" s="2" t="s">
        <v>14</v>
      </c>
      <c r="F24" s="2" t="s">
        <v>15</v>
      </c>
      <c r="G24" s="88"/>
      <c r="H24" s="84"/>
      <c r="I24" s="88"/>
      <c r="J24" s="88"/>
      <c r="K24" s="86"/>
      <c r="L24" s="86"/>
      <c r="M24" s="84"/>
      <c r="N24" s="84"/>
      <c r="O24" s="82"/>
    </row>
    <row r="25" spans="2:17" x14ac:dyDescent="0.25">
      <c r="B25" s="21">
        <v>45958</v>
      </c>
      <c r="C25" s="3" t="s">
        <v>34</v>
      </c>
      <c r="D25" s="4" t="s">
        <v>38</v>
      </c>
      <c r="E25" s="5">
        <v>16</v>
      </c>
      <c r="F25" s="5">
        <v>0</v>
      </c>
      <c r="G25" s="6" t="s">
        <v>26</v>
      </c>
      <c r="H25" s="5" t="s">
        <v>16</v>
      </c>
      <c r="I25" s="5" t="s">
        <v>16</v>
      </c>
      <c r="J25" s="7" t="s">
        <v>17</v>
      </c>
      <c r="K25" s="14">
        <v>9.2916666666666661</v>
      </c>
      <c r="L25" s="14">
        <v>10.958333333333334</v>
      </c>
      <c r="M25" s="33" t="s">
        <v>18</v>
      </c>
      <c r="N25" s="15">
        <f>(L1047-K1047)-TIME(9,0,0)</f>
        <v>-0.375</v>
      </c>
      <c r="O25" s="22">
        <f>L25-K25</f>
        <v>1.6666666666666679</v>
      </c>
    </row>
    <row r="26" spans="2:17" ht="15.75" thickBot="1" x14ac:dyDescent="0.3">
      <c r="B26" s="21">
        <v>45958</v>
      </c>
      <c r="C26" s="23" t="s">
        <v>34</v>
      </c>
      <c r="D26" s="4" t="s">
        <v>38</v>
      </c>
      <c r="E26" s="24">
        <v>0</v>
      </c>
      <c r="F26" s="24">
        <v>0</v>
      </c>
      <c r="G26" s="25" t="s">
        <v>20</v>
      </c>
      <c r="H26" s="24" t="s">
        <v>16</v>
      </c>
      <c r="I26" s="24" t="s">
        <v>16</v>
      </c>
      <c r="J26" s="26"/>
      <c r="K26" s="27"/>
      <c r="L26" s="27"/>
      <c r="M26" s="34" t="s">
        <v>19</v>
      </c>
      <c r="N26" s="29"/>
      <c r="O26" s="30"/>
    </row>
    <row r="27" spans="2:17" ht="15.75" x14ac:dyDescent="0.25">
      <c r="B27" s="99" t="s">
        <v>33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"/>
      <c r="O27" s="20"/>
      <c r="P27" s="2" t="s">
        <v>14</v>
      </c>
      <c r="Q27" s="2" t="s">
        <v>15</v>
      </c>
    </row>
    <row r="28" spans="2:17" x14ac:dyDescent="0.25">
      <c r="B28" s="91" t="s">
        <v>1</v>
      </c>
      <c r="C28" s="85" t="s">
        <v>2</v>
      </c>
      <c r="D28" s="85" t="s">
        <v>3</v>
      </c>
      <c r="E28" s="89" t="s">
        <v>4</v>
      </c>
      <c r="F28" s="90"/>
      <c r="G28" s="87" t="s">
        <v>5</v>
      </c>
      <c r="H28" s="83" t="s">
        <v>6</v>
      </c>
      <c r="I28" s="87" t="s">
        <v>7</v>
      </c>
      <c r="J28" s="87" t="s">
        <v>8</v>
      </c>
      <c r="K28" s="85" t="s">
        <v>9</v>
      </c>
      <c r="L28" s="85" t="s">
        <v>10</v>
      </c>
      <c r="M28" s="83" t="s">
        <v>11</v>
      </c>
      <c r="N28" s="83" t="s">
        <v>12</v>
      </c>
      <c r="O28" s="81" t="s">
        <v>13</v>
      </c>
      <c r="P28" s="45">
        <f>SUM(E25,E30,E20,E15)</f>
        <v>42</v>
      </c>
      <c r="Q28" s="45">
        <f>SUM(F25+F30,F20,F15)</f>
        <v>0</v>
      </c>
    </row>
    <row r="29" spans="2:17" x14ac:dyDescent="0.25">
      <c r="B29" s="92"/>
      <c r="C29" s="86"/>
      <c r="D29" s="86"/>
      <c r="E29" s="2" t="s">
        <v>14</v>
      </c>
      <c r="F29" s="2" t="s">
        <v>15</v>
      </c>
      <c r="G29" s="88"/>
      <c r="H29" s="84"/>
      <c r="I29" s="88"/>
      <c r="J29" s="88"/>
      <c r="K29" s="86"/>
      <c r="L29" s="86"/>
      <c r="M29" s="84"/>
      <c r="N29" s="84"/>
      <c r="O29" s="82"/>
      <c r="P29" s="46"/>
      <c r="Q29" s="46">
        <f>Q28/60</f>
        <v>0</v>
      </c>
    </row>
    <row r="30" spans="2:17" x14ac:dyDescent="0.25">
      <c r="B30" s="21">
        <v>45960</v>
      </c>
      <c r="C30" s="3" t="s">
        <v>34</v>
      </c>
      <c r="D30" s="4" t="s">
        <v>38</v>
      </c>
      <c r="E30" s="5">
        <v>16</v>
      </c>
      <c r="F30" s="5">
        <v>0</v>
      </c>
      <c r="G30" s="6" t="s">
        <v>26</v>
      </c>
      <c r="H30" s="5" t="s">
        <v>16</v>
      </c>
      <c r="I30" s="5" t="s">
        <v>16</v>
      </c>
      <c r="J30" s="7" t="s">
        <v>17</v>
      </c>
      <c r="K30" s="14">
        <v>9.2916666666666661</v>
      </c>
      <c r="L30" s="14">
        <v>10.958333333333334</v>
      </c>
      <c r="M30" s="33" t="s">
        <v>28</v>
      </c>
      <c r="N30" s="15">
        <f>(L1052-K1052)-TIME(9,0,0)</f>
        <v>-0.375</v>
      </c>
      <c r="O30" s="22">
        <f>L30-K30</f>
        <v>1.6666666666666679</v>
      </c>
      <c r="P30" s="13" t="s">
        <v>21</v>
      </c>
      <c r="Q30" s="13">
        <f>P28+Q29</f>
        <v>42</v>
      </c>
    </row>
    <row r="31" spans="2:17" ht="15.75" thickBot="1" x14ac:dyDescent="0.3">
      <c r="B31" s="21">
        <v>45960</v>
      </c>
      <c r="C31" s="23" t="s">
        <v>34</v>
      </c>
      <c r="D31" s="4" t="s">
        <v>38</v>
      </c>
      <c r="E31" s="24">
        <v>0</v>
      </c>
      <c r="F31" s="24">
        <v>0</v>
      </c>
      <c r="G31" s="25" t="s">
        <v>20</v>
      </c>
      <c r="H31" s="24" t="s">
        <v>16</v>
      </c>
      <c r="I31" s="24" t="s">
        <v>16</v>
      </c>
      <c r="J31" s="26"/>
      <c r="K31" s="27"/>
      <c r="L31" s="27"/>
      <c r="M31" s="34" t="s">
        <v>19</v>
      </c>
      <c r="N31" s="29"/>
      <c r="O31" s="30"/>
    </row>
    <row r="32" spans="2:17" ht="61.5" x14ac:dyDescent="0.25">
      <c r="B32" s="78" t="s">
        <v>39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0"/>
    </row>
    <row r="33" spans="2:15" ht="15.75" x14ac:dyDescent="0.25">
      <c r="B33" s="99" t="s">
        <v>33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"/>
      <c r="O33" s="20"/>
    </row>
    <row r="34" spans="2:15" x14ac:dyDescent="0.25">
      <c r="B34" s="91" t="s">
        <v>1</v>
      </c>
      <c r="C34" s="85" t="s">
        <v>2</v>
      </c>
      <c r="D34" s="85" t="s">
        <v>3</v>
      </c>
      <c r="E34" s="89" t="s">
        <v>4</v>
      </c>
      <c r="F34" s="90"/>
      <c r="G34" s="87" t="s">
        <v>5</v>
      </c>
      <c r="H34" s="83" t="s">
        <v>6</v>
      </c>
      <c r="I34" s="87" t="s">
        <v>7</v>
      </c>
      <c r="J34" s="87" t="s">
        <v>8</v>
      </c>
      <c r="K34" s="85" t="s">
        <v>9</v>
      </c>
      <c r="L34" s="85" t="s">
        <v>10</v>
      </c>
      <c r="M34" s="83" t="s">
        <v>11</v>
      </c>
      <c r="N34" s="83" t="s">
        <v>12</v>
      </c>
      <c r="O34" s="81" t="s">
        <v>13</v>
      </c>
    </row>
    <row r="35" spans="2:15" x14ac:dyDescent="0.25">
      <c r="B35" s="92"/>
      <c r="C35" s="86"/>
      <c r="D35" s="86"/>
      <c r="E35" s="2" t="s">
        <v>14</v>
      </c>
      <c r="F35" s="2" t="s">
        <v>15</v>
      </c>
      <c r="G35" s="88"/>
      <c r="H35" s="84"/>
      <c r="I35" s="88"/>
      <c r="J35" s="88"/>
      <c r="K35" s="86"/>
      <c r="L35" s="86"/>
      <c r="M35" s="84"/>
      <c r="N35" s="84"/>
      <c r="O35" s="82"/>
    </row>
    <row r="36" spans="2:15" x14ac:dyDescent="0.25">
      <c r="B36" s="21">
        <v>45962</v>
      </c>
      <c r="C36" s="3" t="s">
        <v>34</v>
      </c>
      <c r="D36" s="4" t="s">
        <v>38</v>
      </c>
      <c r="E36" s="5">
        <v>16</v>
      </c>
      <c r="F36" s="5">
        <v>0</v>
      </c>
      <c r="G36" s="6" t="s">
        <v>26</v>
      </c>
      <c r="H36" s="5" t="s">
        <v>16</v>
      </c>
      <c r="I36" s="5" t="s">
        <v>16</v>
      </c>
      <c r="J36" s="7" t="s">
        <v>17</v>
      </c>
      <c r="K36" s="14">
        <v>9.2916666666666661</v>
      </c>
      <c r="L36" s="14">
        <v>10.958333333333334</v>
      </c>
      <c r="M36" s="33" t="s">
        <v>22</v>
      </c>
      <c r="N36" s="15">
        <f>(L1058-K1058)-TIME(9,0,0)</f>
        <v>-0.375</v>
      </c>
      <c r="O36" s="22">
        <f>L36-K36</f>
        <v>1.6666666666666679</v>
      </c>
    </row>
    <row r="37" spans="2:15" ht="15.75" thickBot="1" x14ac:dyDescent="0.3">
      <c r="B37" s="21">
        <v>45962</v>
      </c>
      <c r="C37" s="23" t="s">
        <v>34</v>
      </c>
      <c r="D37" s="4" t="s">
        <v>38</v>
      </c>
      <c r="E37" s="24">
        <v>0</v>
      </c>
      <c r="F37" s="24">
        <v>0</v>
      </c>
      <c r="G37" s="25" t="s">
        <v>20</v>
      </c>
      <c r="H37" s="24" t="s">
        <v>16</v>
      </c>
      <c r="I37" s="24" t="s">
        <v>16</v>
      </c>
      <c r="J37" s="26"/>
      <c r="K37" s="27"/>
      <c r="L37" s="27"/>
      <c r="M37" s="34" t="s">
        <v>19</v>
      </c>
      <c r="N37" s="29"/>
      <c r="O37" s="30"/>
    </row>
    <row r="38" spans="2:15" ht="15.75" x14ac:dyDescent="0.25">
      <c r="B38" s="99" t="s">
        <v>33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"/>
      <c r="O38" s="20"/>
    </row>
    <row r="39" spans="2:15" x14ac:dyDescent="0.25">
      <c r="B39" s="91" t="s">
        <v>1</v>
      </c>
      <c r="C39" s="85" t="s">
        <v>2</v>
      </c>
      <c r="D39" s="85" t="s">
        <v>3</v>
      </c>
      <c r="E39" s="89" t="s">
        <v>4</v>
      </c>
      <c r="F39" s="90"/>
      <c r="G39" s="87" t="s">
        <v>5</v>
      </c>
      <c r="H39" s="83" t="s">
        <v>6</v>
      </c>
      <c r="I39" s="87" t="s">
        <v>7</v>
      </c>
      <c r="J39" s="87" t="s">
        <v>8</v>
      </c>
      <c r="K39" s="85" t="s">
        <v>9</v>
      </c>
      <c r="L39" s="85" t="s">
        <v>10</v>
      </c>
      <c r="M39" s="83" t="s">
        <v>11</v>
      </c>
      <c r="N39" s="83" t="s">
        <v>12</v>
      </c>
      <c r="O39" s="81" t="s">
        <v>13</v>
      </c>
    </row>
    <row r="40" spans="2:15" x14ac:dyDescent="0.25">
      <c r="B40" s="92"/>
      <c r="C40" s="86"/>
      <c r="D40" s="86"/>
      <c r="E40" s="2" t="s">
        <v>14</v>
      </c>
      <c r="F40" s="2" t="s">
        <v>15</v>
      </c>
      <c r="G40" s="88"/>
      <c r="H40" s="84"/>
      <c r="I40" s="88"/>
      <c r="J40" s="88"/>
      <c r="K40" s="86"/>
      <c r="L40" s="86"/>
      <c r="M40" s="84"/>
      <c r="N40" s="84"/>
      <c r="O40" s="82"/>
    </row>
    <row r="41" spans="2:15" x14ac:dyDescent="0.25">
      <c r="B41" s="21">
        <v>45966</v>
      </c>
      <c r="C41" s="3" t="s">
        <v>34</v>
      </c>
      <c r="D41" s="4" t="s">
        <v>38</v>
      </c>
      <c r="E41" s="5">
        <v>16</v>
      </c>
      <c r="F41" s="5">
        <v>0</v>
      </c>
      <c r="G41" s="6" t="s">
        <v>26</v>
      </c>
      <c r="H41" s="5" t="s">
        <v>16</v>
      </c>
      <c r="I41" s="5" t="s">
        <v>16</v>
      </c>
      <c r="J41" s="7" t="s">
        <v>17</v>
      </c>
      <c r="K41" s="14">
        <v>9.2916666666666661</v>
      </c>
      <c r="L41" s="14">
        <v>10.958333333333334</v>
      </c>
      <c r="M41" s="33" t="s">
        <v>27</v>
      </c>
      <c r="N41" s="15">
        <f>(L1063-K1063)-TIME(9,0,0)</f>
        <v>-0.375</v>
      </c>
      <c r="O41" s="22">
        <f>L41-K41</f>
        <v>1.6666666666666679</v>
      </c>
    </row>
    <row r="42" spans="2:15" ht="15.75" thickBot="1" x14ac:dyDescent="0.3">
      <c r="B42" s="21">
        <v>45966</v>
      </c>
      <c r="C42" s="23" t="s">
        <v>34</v>
      </c>
      <c r="D42" s="4" t="s">
        <v>38</v>
      </c>
      <c r="E42" s="24">
        <v>0</v>
      </c>
      <c r="F42" s="24">
        <v>0</v>
      </c>
      <c r="G42" s="25" t="s">
        <v>20</v>
      </c>
      <c r="H42" s="24" t="s">
        <v>16</v>
      </c>
      <c r="I42" s="24" t="s">
        <v>16</v>
      </c>
      <c r="J42" s="26"/>
      <c r="K42" s="27"/>
      <c r="L42" s="27"/>
      <c r="M42" s="34" t="s">
        <v>19</v>
      </c>
      <c r="N42" s="29"/>
      <c r="O42" s="30"/>
    </row>
    <row r="43" spans="2:15" ht="15.75" x14ac:dyDescent="0.25">
      <c r="B43" s="99" t="s">
        <v>33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"/>
      <c r="O43" s="20"/>
    </row>
    <row r="44" spans="2:15" x14ac:dyDescent="0.25">
      <c r="B44" s="91" t="s">
        <v>1</v>
      </c>
      <c r="C44" s="85" t="s">
        <v>2</v>
      </c>
      <c r="D44" s="85" t="s">
        <v>3</v>
      </c>
      <c r="E44" s="89" t="s">
        <v>4</v>
      </c>
      <c r="F44" s="90"/>
      <c r="G44" s="87" t="s">
        <v>5</v>
      </c>
      <c r="H44" s="83" t="s">
        <v>6</v>
      </c>
      <c r="I44" s="87" t="s">
        <v>7</v>
      </c>
      <c r="J44" s="87" t="s">
        <v>8</v>
      </c>
      <c r="K44" s="85" t="s">
        <v>9</v>
      </c>
      <c r="L44" s="85" t="s">
        <v>10</v>
      </c>
      <c r="M44" s="83" t="s">
        <v>11</v>
      </c>
      <c r="N44" s="83" t="s">
        <v>12</v>
      </c>
      <c r="O44" s="81" t="s">
        <v>13</v>
      </c>
    </row>
    <row r="45" spans="2:15" x14ac:dyDescent="0.25">
      <c r="B45" s="92"/>
      <c r="C45" s="86"/>
      <c r="D45" s="86"/>
      <c r="E45" s="2" t="s">
        <v>14</v>
      </c>
      <c r="F45" s="2" t="s">
        <v>15</v>
      </c>
      <c r="G45" s="88"/>
      <c r="H45" s="84"/>
      <c r="I45" s="88"/>
      <c r="J45" s="88"/>
      <c r="K45" s="86"/>
      <c r="L45" s="86"/>
      <c r="M45" s="84"/>
      <c r="N45" s="84"/>
      <c r="O45" s="82"/>
    </row>
    <row r="46" spans="2:15" x14ac:dyDescent="0.25">
      <c r="B46" s="21">
        <v>45968</v>
      </c>
      <c r="C46" s="3" t="s">
        <v>34</v>
      </c>
      <c r="D46" s="4" t="s">
        <v>38</v>
      </c>
      <c r="E46" s="5">
        <v>10</v>
      </c>
      <c r="F46" s="5">
        <v>0</v>
      </c>
      <c r="G46" s="6" t="s">
        <v>26</v>
      </c>
      <c r="H46" s="5" t="s">
        <v>16</v>
      </c>
      <c r="I46" s="5" t="s">
        <v>16</v>
      </c>
      <c r="J46" s="7" t="s">
        <v>17</v>
      </c>
      <c r="K46" s="14">
        <v>9.2916666666666661</v>
      </c>
      <c r="L46" s="14">
        <v>10.708333333333334</v>
      </c>
      <c r="M46" s="33" t="s">
        <v>29</v>
      </c>
      <c r="N46" s="15">
        <f>(L1068-K1068)-TIME(9,0,0)</f>
        <v>-0.375</v>
      </c>
      <c r="O46" s="22">
        <f>L46-K46</f>
        <v>1.4166666666666679</v>
      </c>
    </row>
    <row r="47" spans="2:15" ht="15.75" thickBot="1" x14ac:dyDescent="0.3">
      <c r="B47" s="21">
        <v>45968</v>
      </c>
      <c r="C47" s="23" t="s">
        <v>34</v>
      </c>
      <c r="D47" s="4" t="s">
        <v>38</v>
      </c>
      <c r="E47" s="24">
        <v>0</v>
      </c>
      <c r="F47" s="24">
        <v>0</v>
      </c>
      <c r="G47" s="25" t="s">
        <v>20</v>
      </c>
      <c r="H47" s="24" t="s">
        <v>16</v>
      </c>
      <c r="I47" s="24" t="s">
        <v>16</v>
      </c>
      <c r="J47" s="26"/>
      <c r="K47" s="27"/>
      <c r="L47" s="27"/>
      <c r="M47" s="34" t="s">
        <v>19</v>
      </c>
      <c r="N47" s="29"/>
      <c r="O47" s="30"/>
    </row>
    <row r="48" spans="2:15" ht="15.75" x14ac:dyDescent="0.25">
      <c r="B48" s="99" t="s">
        <v>33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"/>
      <c r="O48" s="20"/>
    </row>
    <row r="49" spans="2:17" x14ac:dyDescent="0.25">
      <c r="B49" s="91" t="s">
        <v>1</v>
      </c>
      <c r="C49" s="85" t="s">
        <v>2</v>
      </c>
      <c r="D49" s="85" t="s">
        <v>3</v>
      </c>
      <c r="E49" s="89" t="s">
        <v>4</v>
      </c>
      <c r="F49" s="90"/>
      <c r="G49" s="87" t="s">
        <v>5</v>
      </c>
      <c r="H49" s="83" t="s">
        <v>6</v>
      </c>
      <c r="I49" s="87" t="s">
        <v>7</v>
      </c>
      <c r="J49" s="87" t="s">
        <v>8</v>
      </c>
      <c r="K49" s="85" t="s">
        <v>9</v>
      </c>
      <c r="L49" s="85" t="s">
        <v>10</v>
      </c>
      <c r="M49" s="83" t="s">
        <v>11</v>
      </c>
      <c r="N49" s="83" t="s">
        <v>12</v>
      </c>
      <c r="O49" s="81" t="s">
        <v>13</v>
      </c>
    </row>
    <row r="50" spans="2:17" x14ac:dyDescent="0.25">
      <c r="B50" s="92"/>
      <c r="C50" s="86"/>
      <c r="D50" s="86"/>
      <c r="E50" s="2" t="s">
        <v>14</v>
      </c>
      <c r="F50" s="2" t="s">
        <v>15</v>
      </c>
      <c r="G50" s="88"/>
      <c r="H50" s="84"/>
      <c r="I50" s="88"/>
      <c r="J50" s="88"/>
      <c r="K50" s="86"/>
      <c r="L50" s="86"/>
      <c r="M50" s="84"/>
      <c r="N50" s="84"/>
      <c r="O50" s="82"/>
    </row>
    <row r="51" spans="2:17" x14ac:dyDescent="0.25">
      <c r="B51" s="21">
        <v>45969</v>
      </c>
      <c r="C51" s="3" t="s">
        <v>34</v>
      </c>
      <c r="D51" s="4" t="s">
        <v>38</v>
      </c>
      <c r="E51" s="5">
        <v>10</v>
      </c>
      <c r="F51" s="5">
        <v>0</v>
      </c>
      <c r="G51" s="6" t="s">
        <v>26</v>
      </c>
      <c r="H51" s="5" t="s">
        <v>16</v>
      </c>
      <c r="I51" s="5" t="s">
        <v>16</v>
      </c>
      <c r="J51" s="7" t="s">
        <v>17</v>
      </c>
      <c r="K51" s="14">
        <v>9.2916666666666661</v>
      </c>
      <c r="L51" s="14">
        <v>10.708333333333334</v>
      </c>
      <c r="M51" s="33" t="s">
        <v>29</v>
      </c>
      <c r="N51" s="15">
        <f>(L1073-K1073)-TIME(9,0,0)</f>
        <v>-0.375</v>
      </c>
      <c r="O51" s="22">
        <f>L51-K51</f>
        <v>1.4166666666666679</v>
      </c>
    </row>
    <row r="52" spans="2:17" ht="15.75" thickBot="1" x14ac:dyDescent="0.3">
      <c r="B52" s="21">
        <v>45969</v>
      </c>
      <c r="C52" s="23" t="s">
        <v>34</v>
      </c>
      <c r="D52" s="4" t="s">
        <v>38</v>
      </c>
      <c r="E52" s="24">
        <v>0</v>
      </c>
      <c r="F52" s="24">
        <v>0</v>
      </c>
      <c r="G52" s="25" t="s">
        <v>20</v>
      </c>
      <c r="H52" s="24" t="s">
        <v>16</v>
      </c>
      <c r="I52" s="24" t="s">
        <v>16</v>
      </c>
      <c r="J52" s="26"/>
      <c r="K52" s="27"/>
      <c r="L52" s="27"/>
      <c r="M52" s="34" t="s">
        <v>19</v>
      </c>
      <c r="N52" s="29"/>
      <c r="O52" s="30"/>
    </row>
    <row r="53" spans="2:17" ht="15.75" x14ac:dyDescent="0.25">
      <c r="B53" s="99" t="s">
        <v>33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"/>
      <c r="O53" s="20"/>
    </row>
    <row r="54" spans="2:17" x14ac:dyDescent="0.25">
      <c r="B54" s="91" t="s">
        <v>1</v>
      </c>
      <c r="C54" s="85" t="s">
        <v>2</v>
      </c>
      <c r="D54" s="85" t="s">
        <v>3</v>
      </c>
      <c r="E54" s="89" t="s">
        <v>4</v>
      </c>
      <c r="F54" s="90"/>
      <c r="G54" s="87" t="s">
        <v>5</v>
      </c>
      <c r="H54" s="83" t="s">
        <v>6</v>
      </c>
      <c r="I54" s="87" t="s">
        <v>7</v>
      </c>
      <c r="J54" s="87" t="s">
        <v>8</v>
      </c>
      <c r="K54" s="85" t="s">
        <v>9</v>
      </c>
      <c r="L54" s="85" t="s">
        <v>10</v>
      </c>
      <c r="M54" s="83" t="s">
        <v>11</v>
      </c>
      <c r="N54" s="83" t="s">
        <v>12</v>
      </c>
      <c r="O54" s="81" t="s">
        <v>13</v>
      </c>
      <c r="P54" s="2" t="s">
        <v>14</v>
      </c>
      <c r="Q54" s="2" t="s">
        <v>15</v>
      </c>
    </row>
    <row r="55" spans="2:17" x14ac:dyDescent="0.25">
      <c r="B55" s="92"/>
      <c r="C55" s="86"/>
      <c r="D55" s="86"/>
      <c r="E55" s="2" t="s">
        <v>14</v>
      </c>
      <c r="F55" s="2" t="s">
        <v>15</v>
      </c>
      <c r="G55" s="88"/>
      <c r="H55" s="84"/>
      <c r="I55" s="88"/>
      <c r="J55" s="88"/>
      <c r="K55" s="86"/>
      <c r="L55" s="86"/>
      <c r="M55" s="84"/>
      <c r="N55" s="84"/>
      <c r="O55" s="82"/>
      <c r="P55" s="45">
        <f>SUM(E51,E56,E46,E41,E36)</f>
        <v>68</v>
      </c>
      <c r="Q55" s="45">
        <f>SUM(F51,F56,F46,F41,F36)</f>
        <v>0</v>
      </c>
    </row>
    <row r="56" spans="2:17" x14ac:dyDescent="0.25">
      <c r="B56" s="21">
        <v>45972</v>
      </c>
      <c r="C56" s="3" t="s">
        <v>34</v>
      </c>
      <c r="D56" s="4" t="s">
        <v>38</v>
      </c>
      <c r="E56" s="5">
        <v>16</v>
      </c>
      <c r="F56" s="5">
        <v>0</v>
      </c>
      <c r="G56" s="6" t="s">
        <v>26</v>
      </c>
      <c r="H56" s="5" t="s">
        <v>16</v>
      </c>
      <c r="I56" s="5" t="s">
        <v>16</v>
      </c>
      <c r="J56" s="7" t="s">
        <v>17</v>
      </c>
      <c r="K56" s="14">
        <v>9.2916666666666661</v>
      </c>
      <c r="L56" s="14">
        <v>10.958333333333334</v>
      </c>
      <c r="M56" s="33" t="s">
        <v>18</v>
      </c>
      <c r="N56" s="15">
        <f>(L1078-K1078)-TIME(9,0,0)</f>
        <v>-0.375</v>
      </c>
      <c r="O56" s="22">
        <f>L56-K56</f>
        <v>1.6666666666666679</v>
      </c>
      <c r="P56" s="46"/>
      <c r="Q56" s="46">
        <f>Q55/60</f>
        <v>0</v>
      </c>
    </row>
    <row r="57" spans="2:17" ht="15.75" thickBot="1" x14ac:dyDescent="0.3">
      <c r="B57" s="21">
        <v>45972</v>
      </c>
      <c r="C57" s="23" t="s">
        <v>34</v>
      </c>
      <c r="D57" s="4" t="s">
        <v>38</v>
      </c>
      <c r="E57" s="24">
        <v>0</v>
      </c>
      <c r="F57" s="24">
        <v>0</v>
      </c>
      <c r="G57" s="25" t="s">
        <v>20</v>
      </c>
      <c r="H57" s="24" t="s">
        <v>16</v>
      </c>
      <c r="I57" s="24" t="s">
        <v>16</v>
      </c>
      <c r="J57" s="26"/>
      <c r="K57" s="27"/>
      <c r="L57" s="27"/>
      <c r="M57" s="34" t="s">
        <v>19</v>
      </c>
      <c r="N57" s="29"/>
      <c r="O57" s="30"/>
      <c r="P57" s="13" t="s">
        <v>21</v>
      </c>
      <c r="Q57" s="13">
        <f>P55+Q56</f>
        <v>68</v>
      </c>
    </row>
    <row r="58" spans="2:17" ht="61.5" x14ac:dyDescent="0.25">
      <c r="B58" s="78" t="s">
        <v>47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80"/>
    </row>
    <row r="59" spans="2:17" ht="15.75" x14ac:dyDescent="0.25">
      <c r="B59" s="99" t="s">
        <v>33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"/>
      <c r="O59" s="20"/>
    </row>
    <row r="60" spans="2:17" x14ac:dyDescent="0.25">
      <c r="B60" s="91" t="s">
        <v>1</v>
      </c>
      <c r="C60" s="85" t="s">
        <v>2</v>
      </c>
      <c r="D60" s="85" t="s">
        <v>3</v>
      </c>
      <c r="E60" s="89" t="s">
        <v>4</v>
      </c>
      <c r="F60" s="90"/>
      <c r="G60" s="87" t="s">
        <v>5</v>
      </c>
      <c r="H60" s="83" t="s">
        <v>6</v>
      </c>
      <c r="I60" s="87" t="s">
        <v>7</v>
      </c>
      <c r="J60" s="87" t="s">
        <v>8</v>
      </c>
      <c r="K60" s="85" t="s">
        <v>9</v>
      </c>
      <c r="L60" s="85" t="s">
        <v>10</v>
      </c>
      <c r="M60" s="83" t="s">
        <v>11</v>
      </c>
      <c r="N60" s="83" t="s">
        <v>12</v>
      </c>
      <c r="O60" s="81" t="s">
        <v>13</v>
      </c>
    </row>
    <row r="61" spans="2:17" x14ac:dyDescent="0.25">
      <c r="B61" s="92"/>
      <c r="C61" s="86"/>
      <c r="D61" s="86"/>
      <c r="E61" s="2" t="s">
        <v>14</v>
      </c>
      <c r="F61" s="2" t="s">
        <v>15</v>
      </c>
      <c r="G61" s="88"/>
      <c r="H61" s="84"/>
      <c r="I61" s="88"/>
      <c r="J61" s="88"/>
      <c r="K61" s="86"/>
      <c r="L61" s="86"/>
      <c r="M61" s="84"/>
      <c r="N61" s="84"/>
      <c r="O61" s="82"/>
    </row>
    <row r="62" spans="2:17" x14ac:dyDescent="0.25">
      <c r="B62" s="21">
        <v>46001</v>
      </c>
      <c r="C62" s="3" t="s">
        <v>34</v>
      </c>
      <c r="D62" s="4" t="s">
        <v>38</v>
      </c>
      <c r="E62" s="5">
        <v>7</v>
      </c>
      <c r="F62" s="5">
        <v>0</v>
      </c>
      <c r="G62" s="6" t="s">
        <v>26</v>
      </c>
      <c r="H62" s="5" t="s">
        <v>16</v>
      </c>
      <c r="I62" s="5" t="s">
        <v>16</v>
      </c>
      <c r="J62" s="7" t="s">
        <v>17</v>
      </c>
      <c r="K62" s="14">
        <v>9.5833333333333339</v>
      </c>
      <c r="L62" s="14">
        <v>10.875</v>
      </c>
      <c r="M62" s="33" t="s">
        <v>27</v>
      </c>
      <c r="N62" s="15">
        <f>(L1084-K1084)-TIME(9,0,0)</f>
        <v>-0.375</v>
      </c>
      <c r="O62" s="22">
        <f>L62-K62</f>
        <v>1.2916666666666661</v>
      </c>
    </row>
    <row r="63" spans="2:17" ht="15.75" thickBot="1" x14ac:dyDescent="0.3">
      <c r="B63" s="21">
        <v>46001</v>
      </c>
      <c r="C63" s="23" t="s">
        <v>34</v>
      </c>
      <c r="D63" s="4" t="s">
        <v>38</v>
      </c>
      <c r="E63" s="24">
        <v>0</v>
      </c>
      <c r="F63" s="24">
        <v>0</v>
      </c>
      <c r="G63" s="25" t="s">
        <v>20</v>
      </c>
      <c r="H63" s="24" t="s">
        <v>16</v>
      </c>
      <c r="I63" s="24" t="s">
        <v>16</v>
      </c>
      <c r="J63" s="26"/>
      <c r="K63" s="27"/>
      <c r="L63" s="27"/>
      <c r="M63" s="34" t="s">
        <v>19</v>
      </c>
      <c r="N63" s="29"/>
      <c r="O63" s="30"/>
    </row>
    <row r="64" spans="2:17" ht="15.75" x14ac:dyDescent="0.25">
      <c r="B64" s="99" t="s">
        <v>33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"/>
      <c r="O64" s="20"/>
    </row>
    <row r="65" spans="2:17" x14ac:dyDescent="0.25">
      <c r="B65" s="91" t="s">
        <v>1</v>
      </c>
      <c r="C65" s="85" t="s">
        <v>2</v>
      </c>
      <c r="D65" s="85" t="s">
        <v>3</v>
      </c>
      <c r="E65" s="89" t="s">
        <v>4</v>
      </c>
      <c r="F65" s="90"/>
      <c r="G65" s="87" t="s">
        <v>5</v>
      </c>
      <c r="H65" s="83" t="s">
        <v>6</v>
      </c>
      <c r="I65" s="87" t="s">
        <v>7</v>
      </c>
      <c r="J65" s="87" t="s">
        <v>8</v>
      </c>
      <c r="K65" s="85" t="s">
        <v>9</v>
      </c>
      <c r="L65" s="85" t="s">
        <v>10</v>
      </c>
      <c r="M65" s="83" t="s">
        <v>11</v>
      </c>
      <c r="N65" s="83" t="s">
        <v>12</v>
      </c>
      <c r="O65" s="81" t="s">
        <v>13</v>
      </c>
      <c r="P65" s="2" t="s">
        <v>14</v>
      </c>
      <c r="Q65" s="2" t="s">
        <v>15</v>
      </c>
    </row>
    <row r="66" spans="2:17" x14ac:dyDescent="0.25">
      <c r="B66" s="92"/>
      <c r="C66" s="86"/>
      <c r="D66" s="86"/>
      <c r="E66" s="2" t="s">
        <v>14</v>
      </c>
      <c r="F66" s="2" t="s">
        <v>15</v>
      </c>
      <c r="G66" s="88"/>
      <c r="H66" s="84"/>
      <c r="I66" s="88"/>
      <c r="J66" s="88"/>
      <c r="K66" s="86"/>
      <c r="L66" s="86"/>
      <c r="M66" s="84"/>
      <c r="N66" s="84"/>
      <c r="O66" s="82"/>
      <c r="P66" s="45">
        <f>SUM(E62,E67)</f>
        <v>15</v>
      </c>
      <c r="Q66" s="45">
        <f>SUM(F62,F67)</f>
        <v>0</v>
      </c>
    </row>
    <row r="67" spans="2:17" x14ac:dyDescent="0.25">
      <c r="B67" s="21">
        <v>46003</v>
      </c>
      <c r="C67" s="3" t="s">
        <v>34</v>
      </c>
      <c r="D67" s="4" t="s">
        <v>38</v>
      </c>
      <c r="E67" s="5">
        <v>8</v>
      </c>
      <c r="F67" s="5">
        <v>0</v>
      </c>
      <c r="G67" s="6" t="s">
        <v>26</v>
      </c>
      <c r="H67" s="5" t="s">
        <v>16</v>
      </c>
      <c r="I67" s="5" t="s">
        <v>16</v>
      </c>
      <c r="J67" s="7" t="s">
        <v>17</v>
      </c>
      <c r="K67" s="14">
        <v>9.2916666666666661</v>
      </c>
      <c r="L67" s="14">
        <v>10.625</v>
      </c>
      <c r="M67" s="33" t="s">
        <v>29</v>
      </c>
      <c r="N67" s="15">
        <f>(L1089-K1089)-TIME(9,0,0)</f>
        <v>-0.375</v>
      </c>
      <c r="O67" s="22">
        <f>L67-K67</f>
        <v>1.3333333333333339</v>
      </c>
      <c r="P67" s="46"/>
      <c r="Q67" s="46">
        <f>Q66/60</f>
        <v>0</v>
      </c>
    </row>
    <row r="68" spans="2:17" ht="15.75" thickBot="1" x14ac:dyDescent="0.3">
      <c r="B68" s="21">
        <v>46003</v>
      </c>
      <c r="C68" s="23" t="s">
        <v>34</v>
      </c>
      <c r="D68" s="4" t="s">
        <v>38</v>
      </c>
      <c r="E68" s="24">
        <v>0</v>
      </c>
      <c r="F68" s="24">
        <v>0</v>
      </c>
      <c r="G68" s="25" t="s">
        <v>20</v>
      </c>
      <c r="H68" s="24" t="s">
        <v>16</v>
      </c>
      <c r="I68" s="24" t="s">
        <v>16</v>
      </c>
      <c r="J68" s="26"/>
      <c r="K68" s="27"/>
      <c r="L68" s="27"/>
      <c r="M68" s="34" t="s">
        <v>19</v>
      </c>
      <c r="N68" s="29"/>
      <c r="O68" s="30"/>
      <c r="P68" s="13" t="s">
        <v>21</v>
      </c>
      <c r="Q68" s="13">
        <f>P66+Q67</f>
        <v>15</v>
      </c>
    </row>
    <row r="69" spans="2:17" x14ac:dyDescent="0.25">
      <c r="B69" s="9"/>
      <c r="C69" s="8"/>
      <c r="D69" s="9"/>
      <c r="E69" s="10">
        <f>SUM(E67:E68)</f>
        <v>8</v>
      </c>
      <c r="F69" s="10">
        <f>SUM(F67:F68)</f>
        <v>0</v>
      </c>
      <c r="G69" s="11"/>
      <c r="H69" s="11"/>
      <c r="I69" s="11"/>
      <c r="J69" s="11"/>
      <c r="K69" s="12"/>
      <c r="L69" s="12"/>
      <c r="M69" s="9"/>
      <c r="N69" s="9"/>
      <c r="O69" s="9"/>
    </row>
    <row r="70" spans="2:17" x14ac:dyDescent="0.25">
      <c r="B70" s="8"/>
      <c r="C70" s="8"/>
      <c r="D70" s="9"/>
      <c r="E70" s="11"/>
      <c r="F70" s="11">
        <f>F69/60</f>
        <v>0</v>
      </c>
      <c r="G70" s="11"/>
      <c r="H70" s="11"/>
      <c r="I70" s="11"/>
      <c r="J70" s="11"/>
      <c r="K70" s="12"/>
      <c r="L70" s="12"/>
      <c r="M70" s="9"/>
      <c r="N70" s="9"/>
      <c r="O70" s="9"/>
    </row>
    <row r="71" spans="2:17" x14ac:dyDescent="0.25">
      <c r="B71" s="8"/>
      <c r="C71" s="8"/>
      <c r="D71" s="9"/>
      <c r="E71" s="13" t="s">
        <v>21</v>
      </c>
      <c r="F71" s="13">
        <f>E69+F70</f>
        <v>8</v>
      </c>
      <c r="G71" s="11"/>
      <c r="H71" s="11"/>
      <c r="I71" s="11"/>
      <c r="J71" s="11"/>
      <c r="K71" s="12"/>
      <c r="L71" s="12"/>
      <c r="M71" s="9"/>
      <c r="N71" s="9"/>
      <c r="O71" s="41"/>
    </row>
  </sheetData>
  <mergeCells count="157">
    <mergeCell ref="B60:B61"/>
    <mergeCell ref="O65:O66"/>
    <mergeCell ref="N65:N66"/>
    <mergeCell ref="M65:M66"/>
    <mergeCell ref="L65:L66"/>
    <mergeCell ref="K65:K66"/>
    <mergeCell ref="J65:J66"/>
    <mergeCell ref="I65:I66"/>
    <mergeCell ref="H65:H66"/>
    <mergeCell ref="G65:G66"/>
    <mergeCell ref="E65:F65"/>
    <mergeCell ref="D65:D66"/>
    <mergeCell ref="C65:C66"/>
    <mergeCell ref="B65:B66"/>
    <mergeCell ref="E54:F54"/>
    <mergeCell ref="D54:D55"/>
    <mergeCell ref="C54:C55"/>
    <mergeCell ref="B54:B55"/>
    <mergeCell ref="B53:M53"/>
    <mergeCell ref="B59:M59"/>
    <mergeCell ref="B58:O58"/>
    <mergeCell ref="B64:M64"/>
    <mergeCell ref="O60:O61"/>
    <mergeCell ref="N60:N61"/>
    <mergeCell ref="M60:M61"/>
    <mergeCell ref="L60:L61"/>
    <mergeCell ref="K60:K61"/>
    <mergeCell ref="J60:J61"/>
    <mergeCell ref="I60:I61"/>
    <mergeCell ref="H60:H61"/>
    <mergeCell ref="G60:G61"/>
    <mergeCell ref="E60:F60"/>
    <mergeCell ref="D60:D61"/>
    <mergeCell ref="C60:C61"/>
    <mergeCell ref="O54:O55"/>
    <mergeCell ref="N54:N55"/>
    <mergeCell ref="M54:M55"/>
    <mergeCell ref="L54:L55"/>
    <mergeCell ref="K54:K55"/>
    <mergeCell ref="J54:J55"/>
    <mergeCell ref="I54:I55"/>
    <mergeCell ref="H54:H55"/>
    <mergeCell ref="G54:G55"/>
    <mergeCell ref="E18:F18"/>
    <mergeCell ref="D18:D19"/>
    <mergeCell ref="C18:C19"/>
    <mergeCell ref="B18:B19"/>
    <mergeCell ref="B17:M17"/>
    <mergeCell ref="O18:O19"/>
    <mergeCell ref="N18:N19"/>
    <mergeCell ref="M18:M19"/>
    <mergeCell ref="L18:L19"/>
    <mergeCell ref="K18:K19"/>
    <mergeCell ref="J18:J19"/>
    <mergeCell ref="I18:I19"/>
    <mergeCell ref="H18:H19"/>
    <mergeCell ref="G18:G19"/>
    <mergeCell ref="O23:O24"/>
    <mergeCell ref="B27:M27"/>
    <mergeCell ref="B22:M22"/>
    <mergeCell ref="B23:B24"/>
    <mergeCell ref="C23:C24"/>
    <mergeCell ref="D23:D24"/>
    <mergeCell ref="E23:F23"/>
    <mergeCell ref="G23:G24"/>
    <mergeCell ref="H23:H24"/>
    <mergeCell ref="I23:I24"/>
    <mergeCell ref="J23:J24"/>
    <mergeCell ref="C28:C29"/>
    <mergeCell ref="D28:D29"/>
    <mergeCell ref="E28:F28"/>
    <mergeCell ref="G28:G29"/>
    <mergeCell ref="H28:H29"/>
    <mergeCell ref="K23:K24"/>
    <mergeCell ref="L23:L24"/>
    <mergeCell ref="M23:M24"/>
    <mergeCell ref="N23:N24"/>
    <mergeCell ref="B32:O32"/>
    <mergeCell ref="J13:J14"/>
    <mergeCell ref="K13:K14"/>
    <mergeCell ref="L13:L14"/>
    <mergeCell ref="M13:M14"/>
    <mergeCell ref="N13:N14"/>
    <mergeCell ref="O13:O14"/>
    <mergeCell ref="B11:O11"/>
    <mergeCell ref="B12:M12"/>
    <mergeCell ref="B13:B14"/>
    <mergeCell ref="C13:C14"/>
    <mergeCell ref="D13:D14"/>
    <mergeCell ref="E13:F13"/>
    <mergeCell ref="G13:G14"/>
    <mergeCell ref="H13:H14"/>
    <mergeCell ref="I13:I14"/>
    <mergeCell ref="O28:O29"/>
    <mergeCell ref="I28:I29"/>
    <mergeCell ref="J28:J29"/>
    <mergeCell ref="K28:K29"/>
    <mergeCell ref="L28:L29"/>
    <mergeCell ref="M28:M29"/>
    <mergeCell ref="N28:N29"/>
    <mergeCell ref="B28:B29"/>
    <mergeCell ref="B33:M33"/>
    <mergeCell ref="B34:B35"/>
    <mergeCell ref="C34:C35"/>
    <mergeCell ref="D34:D35"/>
    <mergeCell ref="E34:F34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B38:M38"/>
    <mergeCell ref="B39:B40"/>
    <mergeCell ref="C39:C40"/>
    <mergeCell ref="D39:D40"/>
    <mergeCell ref="E39:F39"/>
    <mergeCell ref="G39:G40"/>
    <mergeCell ref="J44:J45"/>
    <mergeCell ref="K44:K45"/>
    <mergeCell ref="L44:L45"/>
    <mergeCell ref="M44:M45"/>
    <mergeCell ref="N44:N45"/>
    <mergeCell ref="O44:O45"/>
    <mergeCell ref="N39:N40"/>
    <mergeCell ref="O39:O40"/>
    <mergeCell ref="B43:M43"/>
    <mergeCell ref="B44:B45"/>
    <mergeCell ref="C44:C45"/>
    <mergeCell ref="D44:D45"/>
    <mergeCell ref="E44:F44"/>
    <mergeCell ref="G44:G45"/>
    <mergeCell ref="H44:H45"/>
    <mergeCell ref="I44:I45"/>
    <mergeCell ref="N49:N50"/>
    <mergeCell ref="O49:O50"/>
    <mergeCell ref="H39:H40"/>
    <mergeCell ref="I39:I40"/>
    <mergeCell ref="J39:J40"/>
    <mergeCell ref="K39:K40"/>
    <mergeCell ref="L39:L40"/>
    <mergeCell ref="M39:M40"/>
    <mergeCell ref="B48:M48"/>
    <mergeCell ref="B49:B50"/>
    <mergeCell ref="C49:C50"/>
    <mergeCell ref="D49:D50"/>
    <mergeCell ref="E49:F49"/>
    <mergeCell ref="G49:G50"/>
    <mergeCell ref="H49:H50"/>
    <mergeCell ref="I49:I50"/>
    <mergeCell ref="J49:J50"/>
    <mergeCell ref="K49:K50"/>
    <mergeCell ref="L49:L50"/>
    <mergeCell ref="M49:M50"/>
  </mergeCells>
  <pageMargins left="0.25" right="0.25" top="0.75" bottom="0.75" header="0.3" footer="0.3"/>
  <pageSetup scale="56" fitToHeight="0" orientation="portrait" r:id="rId1"/>
  <rowBreaks count="1" manualBreakCount="1">
    <brk id="10" min="1" max="14" man="1"/>
  </rowBreaks>
  <colBreaks count="1" manualBreakCount="1">
    <brk id="15" max="17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149B-A671-4353-AEA1-947131FA7AD3}">
  <sheetPr>
    <pageSetUpPr fitToPage="1"/>
  </sheetPr>
  <dimension ref="B2:Q111"/>
  <sheetViews>
    <sheetView view="pageBreakPreview" topLeftCell="A82" zoomScale="85" zoomScaleNormal="100" zoomScaleSheetLayoutView="85" workbookViewId="0">
      <selection activeCell="B110" sqref="B110"/>
    </sheetView>
  </sheetViews>
  <sheetFormatPr defaultColWidth="23.5703125" defaultRowHeight="15" x14ac:dyDescent="0.25"/>
  <cols>
    <col min="2" max="2" width="19.42578125" style="48" customWidth="1"/>
    <col min="3" max="3" width="8.85546875" customWidth="1"/>
    <col min="4" max="4" width="35" customWidth="1"/>
    <col min="5" max="5" width="14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49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50" t="s">
        <v>42</v>
      </c>
      <c r="C4" s="38" t="s">
        <v>43</v>
      </c>
      <c r="D4" s="38"/>
      <c r="E4" s="32"/>
      <c r="O4" s="18"/>
    </row>
    <row r="5" spans="2:15" ht="20.25" x14ac:dyDescent="0.3">
      <c r="B5" s="50" t="s">
        <v>35</v>
      </c>
      <c r="C5" s="38"/>
      <c r="D5" s="38"/>
      <c r="E5" s="32"/>
      <c r="O5" s="18"/>
    </row>
    <row r="6" spans="2:15" ht="20.25" x14ac:dyDescent="0.3">
      <c r="B6" s="50" t="s">
        <v>40</v>
      </c>
      <c r="C6" s="38"/>
      <c r="D6" s="38"/>
      <c r="E6" s="42">
        <f>Q41</f>
        <v>70</v>
      </c>
      <c r="O6" s="18"/>
    </row>
    <row r="7" spans="2:15" ht="20.25" x14ac:dyDescent="0.3">
      <c r="B7" s="50" t="s">
        <v>41</v>
      </c>
      <c r="C7" s="38"/>
      <c r="D7" s="38"/>
      <c r="E7" s="43">
        <f>Q57</f>
        <v>42</v>
      </c>
      <c r="O7" s="18"/>
    </row>
    <row r="8" spans="2:15" ht="21" thickBot="1" x14ac:dyDescent="0.35">
      <c r="B8" s="51" t="s">
        <v>30</v>
      </c>
      <c r="C8" s="40"/>
      <c r="D8" s="40"/>
      <c r="E8" s="44">
        <f>E6+E7</f>
        <v>112</v>
      </c>
      <c r="O8" s="18"/>
    </row>
    <row r="9" spans="2:15" x14ac:dyDescent="0.25">
      <c r="B9" s="52"/>
      <c r="O9" s="18"/>
    </row>
    <row r="10" spans="2:15" x14ac:dyDescent="0.25">
      <c r="B10" s="52"/>
      <c r="O10" s="18"/>
    </row>
    <row r="11" spans="2:15" ht="61.5" x14ac:dyDescent="0.25">
      <c r="B11" s="78" t="s">
        <v>37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</row>
    <row r="12" spans="2:15" ht="15.75" x14ac:dyDescent="0.25">
      <c r="B12" s="76" t="s">
        <v>35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1"/>
      <c r="O12" s="20"/>
    </row>
    <row r="13" spans="2:15" x14ac:dyDescent="0.25">
      <c r="B13" s="107" t="s">
        <v>1</v>
      </c>
      <c r="C13" s="85" t="s">
        <v>2</v>
      </c>
      <c r="D13" s="85" t="s">
        <v>3</v>
      </c>
      <c r="E13" s="89" t="s">
        <v>4</v>
      </c>
      <c r="F13" s="90"/>
      <c r="G13" s="87" t="s">
        <v>5</v>
      </c>
      <c r="H13" s="83" t="s">
        <v>6</v>
      </c>
      <c r="I13" s="87" t="s">
        <v>7</v>
      </c>
      <c r="J13" s="87" t="s">
        <v>8</v>
      </c>
      <c r="K13" s="85" t="s">
        <v>9</v>
      </c>
      <c r="L13" s="85" t="s">
        <v>10</v>
      </c>
      <c r="M13" s="83" t="s">
        <v>11</v>
      </c>
      <c r="N13" s="83" t="s">
        <v>12</v>
      </c>
      <c r="O13" s="81" t="s">
        <v>13</v>
      </c>
    </row>
    <row r="14" spans="2:15" x14ac:dyDescent="0.25">
      <c r="B14" s="108"/>
      <c r="C14" s="86"/>
      <c r="D14" s="86"/>
      <c r="E14" s="2" t="s">
        <v>14</v>
      </c>
      <c r="F14" s="2" t="s">
        <v>15</v>
      </c>
      <c r="G14" s="88"/>
      <c r="H14" s="84"/>
      <c r="I14" s="88"/>
      <c r="J14" s="88"/>
      <c r="K14" s="86"/>
      <c r="L14" s="86"/>
      <c r="M14" s="84"/>
      <c r="N14" s="84"/>
      <c r="O14" s="82"/>
    </row>
    <row r="15" spans="2:15" x14ac:dyDescent="0.25">
      <c r="B15" s="53">
        <v>45949</v>
      </c>
      <c r="C15" s="3" t="s">
        <v>36</v>
      </c>
      <c r="D15" s="4" t="s">
        <v>38</v>
      </c>
      <c r="E15" s="5">
        <v>12</v>
      </c>
      <c r="F15" s="5">
        <v>0</v>
      </c>
      <c r="G15" s="6" t="s">
        <v>26</v>
      </c>
      <c r="H15" s="5" t="s">
        <v>16</v>
      </c>
      <c r="I15" s="5" t="s">
        <v>16</v>
      </c>
      <c r="J15" s="7" t="s">
        <v>17</v>
      </c>
      <c r="K15" s="14">
        <v>9.3333333333333339</v>
      </c>
      <c r="L15" s="14">
        <v>10.833333333333334</v>
      </c>
      <c r="M15" s="33" t="s">
        <v>23</v>
      </c>
      <c r="N15" s="15">
        <f>(L1037-K1037)-TIME(9,0,0)</f>
        <v>-0.375</v>
      </c>
      <c r="O15" s="22">
        <f>L15-K15</f>
        <v>1.5</v>
      </c>
    </row>
    <row r="16" spans="2:15" ht="15.75" thickBot="1" x14ac:dyDescent="0.3">
      <c r="B16" s="53">
        <v>45949</v>
      </c>
      <c r="C16" s="23" t="s">
        <v>36</v>
      </c>
      <c r="D16" s="4" t="s">
        <v>38</v>
      </c>
      <c r="E16" s="24">
        <v>0</v>
      </c>
      <c r="F16" s="24">
        <v>0</v>
      </c>
      <c r="G16" s="25" t="s">
        <v>20</v>
      </c>
      <c r="H16" s="24" t="s">
        <v>16</v>
      </c>
      <c r="I16" s="24" t="s">
        <v>16</v>
      </c>
      <c r="J16" s="26"/>
      <c r="K16" s="27"/>
      <c r="L16" s="27"/>
      <c r="M16" s="34" t="s">
        <v>19</v>
      </c>
      <c r="N16" s="29"/>
      <c r="O16" s="30"/>
    </row>
    <row r="17" spans="2:15" ht="15.75" x14ac:dyDescent="0.25">
      <c r="B17" s="76" t="s">
        <v>35</v>
      </c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1"/>
      <c r="O17" s="20"/>
    </row>
    <row r="18" spans="2:15" x14ac:dyDescent="0.25">
      <c r="B18" s="107" t="s">
        <v>1</v>
      </c>
      <c r="C18" s="85" t="s">
        <v>2</v>
      </c>
      <c r="D18" s="85" t="s">
        <v>3</v>
      </c>
      <c r="E18" s="89" t="s">
        <v>4</v>
      </c>
      <c r="F18" s="90"/>
      <c r="G18" s="87" t="s">
        <v>5</v>
      </c>
      <c r="H18" s="83" t="s">
        <v>6</v>
      </c>
      <c r="I18" s="87" t="s">
        <v>7</v>
      </c>
      <c r="J18" s="87" t="s">
        <v>8</v>
      </c>
      <c r="K18" s="85" t="s">
        <v>9</v>
      </c>
      <c r="L18" s="85" t="s">
        <v>10</v>
      </c>
      <c r="M18" s="83" t="s">
        <v>11</v>
      </c>
      <c r="N18" s="83" t="s">
        <v>12</v>
      </c>
      <c r="O18" s="81" t="s">
        <v>13</v>
      </c>
    </row>
    <row r="19" spans="2:15" x14ac:dyDescent="0.25">
      <c r="B19" s="108"/>
      <c r="C19" s="86"/>
      <c r="D19" s="86"/>
      <c r="E19" s="2" t="s">
        <v>14</v>
      </c>
      <c r="F19" s="2" t="s">
        <v>15</v>
      </c>
      <c r="G19" s="88"/>
      <c r="H19" s="84"/>
      <c r="I19" s="88"/>
      <c r="J19" s="88"/>
      <c r="K19" s="86"/>
      <c r="L19" s="86"/>
      <c r="M19" s="84"/>
      <c r="N19" s="84"/>
      <c r="O19" s="82"/>
    </row>
    <row r="20" spans="2:15" x14ac:dyDescent="0.25">
      <c r="B20" s="53">
        <v>45951</v>
      </c>
      <c r="C20" s="3" t="s">
        <v>36</v>
      </c>
      <c r="D20" s="4" t="s">
        <v>38</v>
      </c>
      <c r="E20" s="5">
        <v>5</v>
      </c>
      <c r="F20" s="5">
        <v>0</v>
      </c>
      <c r="G20" s="6" t="s">
        <v>26</v>
      </c>
      <c r="H20" s="5" t="s">
        <v>16</v>
      </c>
      <c r="I20" s="5" t="s">
        <v>16</v>
      </c>
      <c r="J20" s="7" t="s">
        <v>17</v>
      </c>
      <c r="K20" s="14">
        <v>9.7083333333333339</v>
      </c>
      <c r="L20" s="14">
        <v>10.916666666666666</v>
      </c>
      <c r="M20" s="33" t="s">
        <v>18</v>
      </c>
      <c r="N20" s="15">
        <f>(L1047-K1047)-TIME(9,0,0)</f>
        <v>-0.375</v>
      </c>
      <c r="O20" s="22">
        <f>L20-K20</f>
        <v>1.2083333333333321</v>
      </c>
    </row>
    <row r="21" spans="2:15" ht="15.75" thickBot="1" x14ac:dyDescent="0.3">
      <c r="B21" s="53">
        <v>45951</v>
      </c>
      <c r="C21" s="23" t="s">
        <v>36</v>
      </c>
      <c r="D21" s="4" t="s">
        <v>38</v>
      </c>
      <c r="E21" s="24">
        <v>0</v>
      </c>
      <c r="F21" s="24">
        <v>0</v>
      </c>
      <c r="G21" s="25" t="s">
        <v>20</v>
      </c>
      <c r="H21" s="24" t="s">
        <v>16</v>
      </c>
      <c r="I21" s="24" t="s">
        <v>16</v>
      </c>
      <c r="J21" s="26"/>
      <c r="K21" s="27"/>
      <c r="L21" s="27"/>
      <c r="M21" s="34" t="s">
        <v>19</v>
      </c>
      <c r="N21" s="29"/>
      <c r="O21" s="30"/>
    </row>
    <row r="22" spans="2:15" ht="15.75" x14ac:dyDescent="0.25">
      <c r="B22" s="76" t="s">
        <v>35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1"/>
      <c r="O22" s="20"/>
    </row>
    <row r="23" spans="2:15" x14ac:dyDescent="0.25">
      <c r="B23" s="107" t="s">
        <v>1</v>
      </c>
      <c r="C23" s="85" t="s">
        <v>2</v>
      </c>
      <c r="D23" s="85" t="s">
        <v>3</v>
      </c>
      <c r="E23" s="89" t="s">
        <v>4</v>
      </c>
      <c r="F23" s="90"/>
      <c r="G23" s="87" t="s">
        <v>5</v>
      </c>
      <c r="H23" s="83" t="s">
        <v>6</v>
      </c>
      <c r="I23" s="87" t="s">
        <v>7</v>
      </c>
      <c r="J23" s="87" t="s">
        <v>8</v>
      </c>
      <c r="K23" s="85" t="s">
        <v>9</v>
      </c>
      <c r="L23" s="85" t="s">
        <v>10</v>
      </c>
      <c r="M23" s="83" t="s">
        <v>11</v>
      </c>
      <c r="N23" s="83" t="s">
        <v>12</v>
      </c>
      <c r="O23" s="81" t="s">
        <v>13</v>
      </c>
    </row>
    <row r="24" spans="2:15" x14ac:dyDescent="0.25">
      <c r="B24" s="108"/>
      <c r="C24" s="86"/>
      <c r="D24" s="86"/>
      <c r="E24" s="2" t="s">
        <v>14</v>
      </c>
      <c r="F24" s="2" t="s">
        <v>15</v>
      </c>
      <c r="G24" s="88"/>
      <c r="H24" s="84"/>
      <c r="I24" s="88"/>
      <c r="J24" s="88"/>
      <c r="K24" s="86"/>
      <c r="L24" s="86"/>
      <c r="M24" s="84"/>
      <c r="N24" s="84"/>
      <c r="O24" s="82"/>
    </row>
    <row r="25" spans="2:15" x14ac:dyDescent="0.25">
      <c r="B25" s="53">
        <v>45952</v>
      </c>
      <c r="C25" s="3" t="s">
        <v>36</v>
      </c>
      <c r="D25" s="4" t="s">
        <v>38</v>
      </c>
      <c r="E25" s="5">
        <v>5</v>
      </c>
      <c r="F25" s="5">
        <v>0</v>
      </c>
      <c r="G25" s="6" t="s">
        <v>26</v>
      </c>
      <c r="H25" s="5" t="s">
        <v>16</v>
      </c>
      <c r="I25" s="5" t="s">
        <v>16</v>
      </c>
      <c r="J25" s="7" t="s">
        <v>17</v>
      </c>
      <c r="K25" s="14">
        <v>9.7083333333333339</v>
      </c>
      <c r="L25" s="14">
        <v>10.916666666666666</v>
      </c>
      <c r="M25" s="33" t="s">
        <v>27</v>
      </c>
      <c r="N25" s="15">
        <f>(L1052-K1052)-TIME(9,0,0)</f>
        <v>-0.375</v>
      </c>
      <c r="O25" s="22">
        <f>L25-K25</f>
        <v>1.2083333333333321</v>
      </c>
    </row>
    <row r="26" spans="2:15" ht="15.75" thickBot="1" x14ac:dyDescent="0.3">
      <c r="B26" s="53">
        <v>45952</v>
      </c>
      <c r="C26" s="23" t="s">
        <v>36</v>
      </c>
      <c r="D26" s="4" t="s">
        <v>38</v>
      </c>
      <c r="E26" s="24">
        <v>0</v>
      </c>
      <c r="F26" s="24">
        <v>0</v>
      </c>
      <c r="G26" s="25" t="s">
        <v>20</v>
      </c>
      <c r="H26" s="24" t="s">
        <v>16</v>
      </c>
      <c r="I26" s="24" t="s">
        <v>16</v>
      </c>
      <c r="J26" s="26"/>
      <c r="K26" s="27"/>
      <c r="L26" s="27"/>
      <c r="M26" s="34" t="s">
        <v>19</v>
      </c>
      <c r="N26" s="29"/>
      <c r="O26" s="30"/>
    </row>
    <row r="27" spans="2:15" ht="15.75" x14ac:dyDescent="0.25">
      <c r="B27" s="76" t="s">
        <v>35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1"/>
      <c r="O27" s="20"/>
    </row>
    <row r="28" spans="2:15" ht="15.75" customHeight="1" x14ac:dyDescent="0.25">
      <c r="B28" s="107" t="s">
        <v>1</v>
      </c>
      <c r="C28" s="85" t="s">
        <v>2</v>
      </c>
      <c r="D28" s="85" t="s">
        <v>3</v>
      </c>
      <c r="E28" s="89" t="s">
        <v>4</v>
      </c>
      <c r="F28" s="90"/>
      <c r="G28" s="87" t="s">
        <v>5</v>
      </c>
      <c r="H28" s="83" t="s">
        <v>6</v>
      </c>
      <c r="I28" s="87" t="s">
        <v>7</v>
      </c>
      <c r="J28" s="87" t="s">
        <v>8</v>
      </c>
      <c r="K28" s="85" t="s">
        <v>9</v>
      </c>
      <c r="L28" s="85" t="s">
        <v>10</v>
      </c>
      <c r="M28" s="83" t="s">
        <v>11</v>
      </c>
      <c r="N28" s="83" t="s">
        <v>12</v>
      </c>
      <c r="O28" s="81" t="s">
        <v>13</v>
      </c>
    </row>
    <row r="29" spans="2:15" x14ac:dyDescent="0.25">
      <c r="B29" s="108"/>
      <c r="C29" s="86"/>
      <c r="D29" s="86"/>
      <c r="E29" s="2" t="s">
        <v>14</v>
      </c>
      <c r="F29" s="2" t="s">
        <v>15</v>
      </c>
      <c r="G29" s="88"/>
      <c r="H29" s="84"/>
      <c r="I29" s="88"/>
      <c r="J29" s="88"/>
      <c r="K29" s="86"/>
      <c r="L29" s="86"/>
      <c r="M29" s="84"/>
      <c r="N29" s="84"/>
      <c r="O29" s="82"/>
    </row>
    <row r="30" spans="2:15" x14ac:dyDescent="0.25">
      <c r="B30" s="53">
        <v>45957</v>
      </c>
      <c r="C30" s="3" t="s">
        <v>36</v>
      </c>
      <c r="D30" s="4" t="s">
        <v>38</v>
      </c>
      <c r="E30" s="5">
        <v>16</v>
      </c>
      <c r="F30" s="5">
        <v>0</v>
      </c>
      <c r="G30" s="6" t="s">
        <v>26</v>
      </c>
      <c r="H30" s="5" t="s">
        <v>16</v>
      </c>
      <c r="I30" s="5" t="s">
        <v>16</v>
      </c>
      <c r="J30" s="7" t="s">
        <v>17</v>
      </c>
      <c r="K30" s="14">
        <v>9.2916666666666661</v>
      </c>
      <c r="L30" s="14">
        <v>10.958333333333334</v>
      </c>
      <c r="M30" s="33" t="s">
        <v>24</v>
      </c>
      <c r="N30" s="15">
        <f>(L1057-K1057)-TIME(9,0,0)</f>
        <v>-0.375</v>
      </c>
      <c r="O30" s="22">
        <f>L30-K30</f>
        <v>1.6666666666666679</v>
      </c>
    </row>
    <row r="31" spans="2:15" ht="15.75" thickBot="1" x14ac:dyDescent="0.3">
      <c r="B31" s="53">
        <v>45957</v>
      </c>
      <c r="C31" s="23" t="s">
        <v>36</v>
      </c>
      <c r="D31" s="4" t="s">
        <v>38</v>
      </c>
      <c r="E31" s="24">
        <v>0</v>
      </c>
      <c r="F31" s="24">
        <v>0</v>
      </c>
      <c r="G31" s="25" t="s">
        <v>20</v>
      </c>
      <c r="H31" s="24" t="s">
        <v>16</v>
      </c>
      <c r="I31" s="24" t="s">
        <v>16</v>
      </c>
      <c r="J31" s="26"/>
      <c r="K31" s="27"/>
      <c r="L31" s="27"/>
      <c r="M31" s="34" t="s">
        <v>19</v>
      </c>
      <c r="N31" s="29"/>
      <c r="O31" s="30"/>
    </row>
    <row r="32" spans="2:15" ht="15.75" x14ac:dyDescent="0.25">
      <c r="B32" s="76" t="s">
        <v>35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1"/>
      <c r="O32" s="20"/>
    </row>
    <row r="33" spans="2:17" x14ac:dyDescent="0.25">
      <c r="B33" s="107" t="s">
        <v>1</v>
      </c>
      <c r="C33" s="85" t="s">
        <v>2</v>
      </c>
      <c r="D33" s="85" t="s">
        <v>3</v>
      </c>
      <c r="E33" s="89" t="s">
        <v>4</v>
      </c>
      <c r="F33" s="90"/>
      <c r="G33" s="87" t="s">
        <v>5</v>
      </c>
      <c r="H33" s="83" t="s">
        <v>6</v>
      </c>
      <c r="I33" s="87" t="s">
        <v>7</v>
      </c>
      <c r="J33" s="87" t="s">
        <v>8</v>
      </c>
      <c r="K33" s="85" t="s">
        <v>9</v>
      </c>
      <c r="L33" s="85" t="s">
        <v>10</v>
      </c>
      <c r="M33" s="83" t="s">
        <v>11</v>
      </c>
      <c r="N33" s="83" t="s">
        <v>12</v>
      </c>
      <c r="O33" s="81" t="s">
        <v>13</v>
      </c>
    </row>
    <row r="34" spans="2:17" x14ac:dyDescent="0.25">
      <c r="B34" s="108"/>
      <c r="C34" s="86"/>
      <c r="D34" s="86"/>
      <c r="E34" s="2" t="s">
        <v>14</v>
      </c>
      <c r="F34" s="2" t="s">
        <v>15</v>
      </c>
      <c r="G34" s="88"/>
      <c r="H34" s="84"/>
      <c r="I34" s="88"/>
      <c r="J34" s="88"/>
      <c r="K34" s="86"/>
      <c r="L34" s="86"/>
      <c r="M34" s="84"/>
      <c r="N34" s="84"/>
      <c r="O34" s="82"/>
    </row>
    <row r="35" spans="2:17" x14ac:dyDescent="0.25">
      <c r="B35" s="53">
        <v>45959</v>
      </c>
      <c r="C35" s="3" t="s">
        <v>36</v>
      </c>
      <c r="D35" s="4" t="s">
        <v>38</v>
      </c>
      <c r="E35" s="5">
        <v>16</v>
      </c>
      <c r="F35" s="5">
        <v>0</v>
      </c>
      <c r="G35" s="6" t="s">
        <v>26</v>
      </c>
      <c r="H35" s="5" t="s">
        <v>16</v>
      </c>
      <c r="I35" s="5" t="s">
        <v>16</v>
      </c>
      <c r="J35" s="7" t="s">
        <v>17</v>
      </c>
      <c r="K35" s="14">
        <v>9.2916666666666661</v>
      </c>
      <c r="L35" s="14">
        <v>10.958333333333334</v>
      </c>
      <c r="M35" s="33" t="s">
        <v>27</v>
      </c>
      <c r="N35" s="15">
        <f>(L1062-K1062)-TIME(9,0,0)</f>
        <v>-0.375</v>
      </c>
      <c r="O35" s="22">
        <f>L35-K35</f>
        <v>1.6666666666666679</v>
      </c>
    </row>
    <row r="36" spans="2:17" ht="15.75" thickBot="1" x14ac:dyDescent="0.3">
      <c r="B36" s="53">
        <v>45959</v>
      </c>
      <c r="C36" s="23" t="s">
        <v>36</v>
      </c>
      <c r="D36" s="4" t="s">
        <v>38</v>
      </c>
      <c r="E36" s="24">
        <v>0</v>
      </c>
      <c r="F36" s="24">
        <v>0</v>
      </c>
      <c r="G36" s="25" t="s">
        <v>20</v>
      </c>
      <c r="H36" s="24" t="s">
        <v>16</v>
      </c>
      <c r="I36" s="24" t="s">
        <v>16</v>
      </c>
      <c r="J36" s="26"/>
      <c r="K36" s="27"/>
      <c r="L36" s="27"/>
      <c r="M36" s="34" t="s">
        <v>19</v>
      </c>
      <c r="N36" s="29"/>
      <c r="O36" s="30"/>
    </row>
    <row r="37" spans="2:17" ht="15.75" x14ac:dyDescent="0.25">
      <c r="B37" s="76" t="s">
        <v>35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1"/>
      <c r="O37" s="20"/>
    </row>
    <row r="38" spans="2:17" x14ac:dyDescent="0.25">
      <c r="B38" s="107" t="s">
        <v>1</v>
      </c>
      <c r="C38" s="85" t="s">
        <v>2</v>
      </c>
      <c r="D38" s="85" t="s">
        <v>3</v>
      </c>
      <c r="E38" s="89" t="s">
        <v>4</v>
      </c>
      <c r="F38" s="90"/>
      <c r="G38" s="87" t="s">
        <v>5</v>
      </c>
      <c r="H38" s="83" t="s">
        <v>6</v>
      </c>
      <c r="I38" s="87" t="s">
        <v>7</v>
      </c>
      <c r="J38" s="87" t="s">
        <v>8</v>
      </c>
      <c r="K38" s="85" t="s">
        <v>9</v>
      </c>
      <c r="L38" s="85" t="s">
        <v>10</v>
      </c>
      <c r="M38" s="83" t="s">
        <v>11</v>
      </c>
      <c r="N38" s="83" t="s">
        <v>12</v>
      </c>
      <c r="O38" s="81" t="s">
        <v>13</v>
      </c>
      <c r="P38" s="2" t="s">
        <v>14</v>
      </c>
      <c r="Q38" s="2" t="s">
        <v>15</v>
      </c>
    </row>
    <row r="39" spans="2:17" x14ac:dyDescent="0.25">
      <c r="B39" s="108"/>
      <c r="C39" s="86"/>
      <c r="D39" s="86"/>
      <c r="E39" s="2" t="s">
        <v>14</v>
      </c>
      <c r="F39" s="2" t="s">
        <v>15</v>
      </c>
      <c r="G39" s="88"/>
      <c r="H39" s="84"/>
      <c r="I39" s="88"/>
      <c r="J39" s="88"/>
      <c r="K39" s="86"/>
      <c r="L39" s="86"/>
      <c r="M39" s="84"/>
      <c r="N39" s="84"/>
      <c r="O39" s="82"/>
      <c r="P39" s="45">
        <f>SUM(E30,E35,E40,E25,E20,E15)</f>
        <v>70</v>
      </c>
      <c r="Q39" s="45">
        <f>SUM(F30,F35,F40,F25,F20,F15)</f>
        <v>0</v>
      </c>
    </row>
    <row r="40" spans="2:17" x14ac:dyDescent="0.25">
      <c r="B40" s="53">
        <v>45961</v>
      </c>
      <c r="C40" s="3" t="s">
        <v>36</v>
      </c>
      <c r="D40" s="4" t="s">
        <v>38</v>
      </c>
      <c r="E40" s="5">
        <v>16</v>
      </c>
      <c r="F40" s="5">
        <v>0</v>
      </c>
      <c r="G40" s="6" t="s">
        <v>26</v>
      </c>
      <c r="H40" s="5" t="s">
        <v>16</v>
      </c>
      <c r="I40" s="5" t="s">
        <v>16</v>
      </c>
      <c r="J40" s="7" t="s">
        <v>17</v>
      </c>
      <c r="K40" s="14">
        <v>9.2916666666666661</v>
      </c>
      <c r="L40" s="14">
        <v>10.958333333333334</v>
      </c>
      <c r="M40" s="33" t="s">
        <v>29</v>
      </c>
      <c r="N40" s="15">
        <f>(L1067-K1067)-TIME(9,0,0)</f>
        <v>-0.375</v>
      </c>
      <c r="O40" s="22">
        <f>L40-K40</f>
        <v>1.6666666666666679</v>
      </c>
      <c r="P40" s="46"/>
      <c r="Q40" s="46">
        <f>Q39/60</f>
        <v>0</v>
      </c>
    </row>
    <row r="41" spans="2:17" ht="15.75" thickBot="1" x14ac:dyDescent="0.3">
      <c r="B41" s="53">
        <v>45961</v>
      </c>
      <c r="C41" s="23" t="s">
        <v>36</v>
      </c>
      <c r="D41" s="4" t="s">
        <v>38</v>
      </c>
      <c r="E41" s="24">
        <v>0</v>
      </c>
      <c r="F41" s="24">
        <v>0</v>
      </c>
      <c r="G41" s="25" t="s">
        <v>20</v>
      </c>
      <c r="H41" s="24" t="s">
        <v>16</v>
      </c>
      <c r="I41" s="24" t="s">
        <v>16</v>
      </c>
      <c r="J41" s="26"/>
      <c r="K41" s="27"/>
      <c r="L41" s="27"/>
      <c r="M41" s="34" t="s">
        <v>19</v>
      </c>
      <c r="N41" s="29"/>
      <c r="O41" s="30"/>
      <c r="P41" s="13" t="s">
        <v>21</v>
      </c>
      <c r="Q41" s="13">
        <f>P39+Q40</f>
        <v>70</v>
      </c>
    </row>
    <row r="42" spans="2:17" ht="61.5" x14ac:dyDescent="0.25">
      <c r="B42" s="78" t="s">
        <v>39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80"/>
    </row>
    <row r="43" spans="2:17" ht="15.75" x14ac:dyDescent="0.25">
      <c r="B43" s="76" t="s">
        <v>35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1"/>
      <c r="O43" s="20"/>
    </row>
    <row r="44" spans="2:17" x14ac:dyDescent="0.25">
      <c r="B44" s="107" t="s">
        <v>1</v>
      </c>
      <c r="C44" s="85" t="s">
        <v>2</v>
      </c>
      <c r="D44" s="85" t="s">
        <v>3</v>
      </c>
      <c r="E44" s="89" t="s">
        <v>4</v>
      </c>
      <c r="F44" s="90"/>
      <c r="G44" s="87" t="s">
        <v>5</v>
      </c>
      <c r="H44" s="83" t="s">
        <v>6</v>
      </c>
      <c r="I44" s="87" t="s">
        <v>7</v>
      </c>
      <c r="J44" s="87" t="s">
        <v>8</v>
      </c>
      <c r="K44" s="85" t="s">
        <v>9</v>
      </c>
      <c r="L44" s="85" t="s">
        <v>10</v>
      </c>
      <c r="M44" s="83" t="s">
        <v>11</v>
      </c>
      <c r="N44" s="83" t="s">
        <v>12</v>
      </c>
      <c r="O44" s="81" t="s">
        <v>13</v>
      </c>
    </row>
    <row r="45" spans="2:17" x14ac:dyDescent="0.25">
      <c r="B45" s="108"/>
      <c r="C45" s="86"/>
      <c r="D45" s="86"/>
      <c r="E45" s="2" t="s">
        <v>14</v>
      </c>
      <c r="F45" s="2" t="s">
        <v>15</v>
      </c>
      <c r="G45" s="88"/>
      <c r="H45" s="84"/>
      <c r="I45" s="88"/>
      <c r="J45" s="88"/>
      <c r="K45" s="86"/>
      <c r="L45" s="86"/>
      <c r="M45" s="84"/>
      <c r="N45" s="84"/>
      <c r="O45" s="82"/>
    </row>
    <row r="46" spans="2:17" x14ac:dyDescent="0.25">
      <c r="B46" s="53">
        <v>45967</v>
      </c>
      <c r="C46" s="3" t="s">
        <v>36</v>
      </c>
      <c r="D46" s="4" t="s">
        <v>38</v>
      </c>
      <c r="E46" s="5">
        <v>16</v>
      </c>
      <c r="F46" s="5">
        <v>0</v>
      </c>
      <c r="G46" s="6" t="s">
        <v>26</v>
      </c>
      <c r="H46" s="5" t="s">
        <v>16</v>
      </c>
      <c r="I46" s="5" t="s">
        <v>16</v>
      </c>
      <c r="J46" s="7" t="s">
        <v>17</v>
      </c>
      <c r="K46" s="14">
        <v>9.2916666666666661</v>
      </c>
      <c r="L46" s="14">
        <v>10.958333333333334</v>
      </c>
      <c r="M46" s="33" t="s">
        <v>28</v>
      </c>
      <c r="N46" s="15">
        <f>(L1073-K1073)-TIME(9,0,0)</f>
        <v>-0.375</v>
      </c>
      <c r="O46" s="22">
        <f>L46-K46</f>
        <v>1.6666666666666679</v>
      </c>
    </row>
    <row r="47" spans="2:17" ht="15.75" thickBot="1" x14ac:dyDescent="0.3">
      <c r="B47" s="53">
        <v>45967</v>
      </c>
      <c r="C47" s="23" t="s">
        <v>36</v>
      </c>
      <c r="D47" s="4" t="s">
        <v>38</v>
      </c>
      <c r="E47" s="24">
        <v>0</v>
      </c>
      <c r="F47" s="24">
        <v>0</v>
      </c>
      <c r="G47" s="25" t="s">
        <v>20</v>
      </c>
      <c r="H47" s="24" t="s">
        <v>16</v>
      </c>
      <c r="I47" s="24" t="s">
        <v>16</v>
      </c>
      <c r="J47" s="26"/>
      <c r="K47" s="27"/>
      <c r="L47" s="27"/>
      <c r="M47" s="34" t="s">
        <v>19</v>
      </c>
      <c r="N47" s="29"/>
      <c r="O47" s="30"/>
    </row>
    <row r="48" spans="2:17" ht="15.75" x14ac:dyDescent="0.25">
      <c r="B48" s="76" t="s">
        <v>35</v>
      </c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1"/>
      <c r="O48" s="20"/>
    </row>
    <row r="49" spans="2:17" x14ac:dyDescent="0.25">
      <c r="B49" s="107" t="s">
        <v>1</v>
      </c>
      <c r="C49" s="85" t="s">
        <v>2</v>
      </c>
      <c r="D49" s="85" t="s">
        <v>3</v>
      </c>
      <c r="E49" s="89" t="s">
        <v>4</v>
      </c>
      <c r="F49" s="90"/>
      <c r="G49" s="87" t="s">
        <v>5</v>
      </c>
      <c r="H49" s="83" t="s">
        <v>6</v>
      </c>
      <c r="I49" s="87" t="s">
        <v>7</v>
      </c>
      <c r="J49" s="87" t="s">
        <v>8</v>
      </c>
      <c r="K49" s="85" t="s">
        <v>9</v>
      </c>
      <c r="L49" s="85" t="s">
        <v>10</v>
      </c>
      <c r="M49" s="83" t="s">
        <v>11</v>
      </c>
      <c r="N49" s="83" t="s">
        <v>12</v>
      </c>
      <c r="O49" s="81" t="s">
        <v>13</v>
      </c>
    </row>
    <row r="50" spans="2:17" x14ac:dyDescent="0.25">
      <c r="B50" s="108"/>
      <c r="C50" s="86"/>
      <c r="D50" s="86"/>
      <c r="E50" s="2" t="s">
        <v>14</v>
      </c>
      <c r="F50" s="2" t="s">
        <v>15</v>
      </c>
      <c r="G50" s="88"/>
      <c r="H50" s="84"/>
      <c r="I50" s="88"/>
      <c r="J50" s="88"/>
      <c r="K50" s="86"/>
      <c r="L50" s="86"/>
      <c r="M50" s="84"/>
      <c r="N50" s="84"/>
      <c r="O50" s="82"/>
    </row>
    <row r="51" spans="2:17" x14ac:dyDescent="0.25">
      <c r="B51" s="53">
        <v>45969</v>
      </c>
      <c r="C51" s="3" t="s">
        <v>36</v>
      </c>
      <c r="D51" s="4" t="s">
        <v>38</v>
      </c>
      <c r="E51" s="5">
        <v>10</v>
      </c>
      <c r="F51" s="5">
        <v>0</v>
      </c>
      <c r="G51" s="6" t="s">
        <v>26</v>
      </c>
      <c r="H51" s="5" t="s">
        <v>16</v>
      </c>
      <c r="I51" s="5" t="s">
        <v>16</v>
      </c>
      <c r="J51" s="7" t="s">
        <v>17</v>
      </c>
      <c r="K51" s="14">
        <v>9.2916666666666661</v>
      </c>
      <c r="L51" s="14">
        <v>10.708333333333334</v>
      </c>
      <c r="M51" s="33" t="s">
        <v>22</v>
      </c>
      <c r="N51" s="15">
        <f>(L1078-K1078)-TIME(9,0,0)</f>
        <v>-0.375</v>
      </c>
      <c r="O51" s="22">
        <f>L51-K51</f>
        <v>1.4166666666666679</v>
      </c>
    </row>
    <row r="52" spans="2:17" ht="15.75" thickBot="1" x14ac:dyDescent="0.3">
      <c r="B52" s="53">
        <v>45969</v>
      </c>
      <c r="C52" s="23" t="s">
        <v>36</v>
      </c>
      <c r="D52" s="4" t="s">
        <v>38</v>
      </c>
      <c r="E52" s="24">
        <v>0</v>
      </c>
      <c r="F52" s="24">
        <v>0</v>
      </c>
      <c r="G52" s="25" t="s">
        <v>20</v>
      </c>
      <c r="H52" s="24" t="s">
        <v>16</v>
      </c>
      <c r="I52" s="24" t="s">
        <v>16</v>
      </c>
      <c r="J52" s="26"/>
      <c r="K52" s="27"/>
      <c r="L52" s="27"/>
      <c r="M52" s="34" t="s">
        <v>19</v>
      </c>
      <c r="N52" s="29"/>
      <c r="O52" s="30"/>
    </row>
    <row r="53" spans="2:17" ht="15.75" x14ac:dyDescent="0.25">
      <c r="B53" s="76" t="s">
        <v>35</v>
      </c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1"/>
      <c r="O53" s="20"/>
    </row>
    <row r="54" spans="2:17" x14ac:dyDescent="0.25">
      <c r="B54" s="107" t="s">
        <v>1</v>
      </c>
      <c r="C54" s="85" t="s">
        <v>2</v>
      </c>
      <c r="D54" s="85" t="s">
        <v>3</v>
      </c>
      <c r="E54" s="89" t="s">
        <v>4</v>
      </c>
      <c r="F54" s="90"/>
      <c r="G54" s="87" t="s">
        <v>5</v>
      </c>
      <c r="H54" s="83" t="s">
        <v>6</v>
      </c>
      <c r="I54" s="87" t="s">
        <v>7</v>
      </c>
      <c r="J54" s="87" t="s">
        <v>8</v>
      </c>
      <c r="K54" s="85" t="s">
        <v>9</v>
      </c>
      <c r="L54" s="85" t="s">
        <v>10</v>
      </c>
      <c r="M54" s="83" t="s">
        <v>11</v>
      </c>
      <c r="N54" s="83" t="s">
        <v>12</v>
      </c>
      <c r="O54" s="81" t="s">
        <v>13</v>
      </c>
      <c r="P54" s="2" t="s">
        <v>14</v>
      </c>
      <c r="Q54" s="2" t="s">
        <v>15</v>
      </c>
    </row>
    <row r="55" spans="2:17" x14ac:dyDescent="0.25">
      <c r="B55" s="108"/>
      <c r="C55" s="86"/>
      <c r="D55" s="86"/>
      <c r="E55" s="2" t="s">
        <v>14</v>
      </c>
      <c r="F55" s="2" t="s">
        <v>15</v>
      </c>
      <c r="G55" s="88"/>
      <c r="H55" s="84"/>
      <c r="I55" s="88"/>
      <c r="J55" s="88"/>
      <c r="K55" s="86"/>
      <c r="L55" s="86"/>
      <c r="M55" s="84"/>
      <c r="N55" s="84"/>
      <c r="O55" s="82"/>
      <c r="P55" s="45">
        <f>SUM(E51,E56,E46)</f>
        <v>42</v>
      </c>
      <c r="Q55" s="45">
        <f>SUM(F51,F56,F46)</f>
        <v>0</v>
      </c>
    </row>
    <row r="56" spans="2:17" x14ac:dyDescent="0.25">
      <c r="B56" s="53">
        <v>45974</v>
      </c>
      <c r="C56" s="3" t="s">
        <v>36</v>
      </c>
      <c r="D56" s="4" t="s">
        <v>38</v>
      </c>
      <c r="E56" s="5">
        <v>16</v>
      </c>
      <c r="F56" s="5">
        <v>0</v>
      </c>
      <c r="G56" s="6" t="s">
        <v>26</v>
      </c>
      <c r="H56" s="5" t="s">
        <v>16</v>
      </c>
      <c r="I56" s="5" t="s">
        <v>16</v>
      </c>
      <c r="J56" s="7" t="s">
        <v>17</v>
      </c>
      <c r="K56" s="14">
        <v>9.2916666666666661</v>
      </c>
      <c r="L56" s="14">
        <v>10.958333333333334</v>
      </c>
      <c r="M56" s="33" t="s">
        <v>28</v>
      </c>
      <c r="N56" s="15">
        <f>(L1083-K1083)-TIME(9,0,0)</f>
        <v>-0.375</v>
      </c>
      <c r="O56" s="22">
        <f>L56-K56</f>
        <v>1.6666666666666679</v>
      </c>
      <c r="P56" s="46"/>
      <c r="Q56" s="46">
        <f>Q55/60</f>
        <v>0</v>
      </c>
    </row>
    <row r="57" spans="2:17" ht="15.75" thickBot="1" x14ac:dyDescent="0.3">
      <c r="B57" s="53">
        <v>45974</v>
      </c>
      <c r="C57" s="23" t="s">
        <v>36</v>
      </c>
      <c r="D57" s="4" t="s">
        <v>38</v>
      </c>
      <c r="E57" s="24">
        <v>0</v>
      </c>
      <c r="F57" s="24">
        <v>0</v>
      </c>
      <c r="G57" s="25" t="s">
        <v>20</v>
      </c>
      <c r="H57" s="24" t="s">
        <v>16</v>
      </c>
      <c r="I57" s="24" t="s">
        <v>16</v>
      </c>
      <c r="J57" s="26"/>
      <c r="K57" s="27"/>
      <c r="L57" s="27"/>
      <c r="M57" s="34" t="s">
        <v>19</v>
      </c>
      <c r="N57" s="29"/>
      <c r="O57" s="30"/>
      <c r="P57" s="13" t="s">
        <v>21</v>
      </c>
      <c r="Q57" s="13">
        <f>P55+Q56</f>
        <v>42</v>
      </c>
    </row>
    <row r="58" spans="2:17" ht="15.75" x14ac:dyDescent="0.25">
      <c r="B58" s="76" t="s">
        <v>35</v>
      </c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1"/>
      <c r="O58" s="20"/>
    </row>
    <row r="59" spans="2:17" ht="15" customHeight="1" x14ac:dyDescent="0.25">
      <c r="B59" s="107" t="s">
        <v>1</v>
      </c>
      <c r="C59" s="85" t="s">
        <v>2</v>
      </c>
      <c r="D59" s="85" t="s">
        <v>3</v>
      </c>
      <c r="E59" s="89" t="s">
        <v>4</v>
      </c>
      <c r="F59" s="90"/>
      <c r="G59" s="87" t="s">
        <v>5</v>
      </c>
      <c r="H59" s="83" t="s">
        <v>6</v>
      </c>
      <c r="I59" s="87" t="s">
        <v>7</v>
      </c>
      <c r="J59" s="87" t="s">
        <v>8</v>
      </c>
      <c r="K59" s="85" t="s">
        <v>9</v>
      </c>
      <c r="L59" s="85" t="s">
        <v>10</v>
      </c>
      <c r="M59" s="83" t="s">
        <v>11</v>
      </c>
      <c r="N59" s="83" t="s">
        <v>12</v>
      </c>
      <c r="O59" s="81" t="s">
        <v>13</v>
      </c>
    </row>
    <row r="60" spans="2:17" ht="15" customHeight="1" x14ac:dyDescent="0.25">
      <c r="B60" s="108"/>
      <c r="C60" s="86"/>
      <c r="D60" s="86"/>
      <c r="E60" s="2" t="s">
        <v>14</v>
      </c>
      <c r="F60" s="2" t="s">
        <v>15</v>
      </c>
      <c r="G60" s="88"/>
      <c r="H60" s="84"/>
      <c r="I60" s="88"/>
      <c r="J60" s="88"/>
      <c r="K60" s="86"/>
      <c r="L60" s="86"/>
      <c r="M60" s="84"/>
      <c r="N60" s="84"/>
      <c r="O60" s="82"/>
    </row>
    <row r="61" spans="2:17" x14ac:dyDescent="0.25">
      <c r="B61" s="53">
        <v>45984</v>
      </c>
      <c r="C61" s="3" t="s">
        <v>52</v>
      </c>
      <c r="D61" s="4" t="s">
        <v>38</v>
      </c>
      <c r="E61" s="5">
        <v>10</v>
      </c>
      <c r="F61" s="5">
        <v>30</v>
      </c>
      <c r="G61" s="6" t="s">
        <v>26</v>
      </c>
      <c r="H61" s="5" t="s">
        <v>16</v>
      </c>
      <c r="I61" s="5" t="s">
        <v>16</v>
      </c>
      <c r="J61" s="7" t="s">
        <v>17</v>
      </c>
      <c r="K61" s="14">
        <v>9.4583333333333339</v>
      </c>
      <c r="L61" s="14">
        <v>10.895833333333334</v>
      </c>
      <c r="M61" s="33" t="s">
        <v>23</v>
      </c>
      <c r="N61" s="15">
        <f>(L1068-K1068)-TIME(9,0,0)</f>
        <v>-0.375</v>
      </c>
      <c r="O61" s="22">
        <f>L61-K61</f>
        <v>1.4375</v>
      </c>
    </row>
    <row r="62" spans="2:17" ht="30.75" thickBot="1" x14ac:dyDescent="0.3">
      <c r="B62" s="53">
        <v>45984</v>
      </c>
      <c r="C62" s="3" t="s">
        <v>52</v>
      </c>
      <c r="D62" s="4" t="s">
        <v>38</v>
      </c>
      <c r="E62" s="24">
        <v>0</v>
      </c>
      <c r="F62" s="24">
        <v>0</v>
      </c>
      <c r="G62" s="25" t="s">
        <v>20</v>
      </c>
      <c r="H62" s="24" t="s">
        <v>16</v>
      </c>
      <c r="I62" s="24" t="s">
        <v>16</v>
      </c>
      <c r="J62" s="26"/>
      <c r="K62" s="27"/>
      <c r="L62" s="27"/>
      <c r="M62" s="34" t="s">
        <v>19</v>
      </c>
      <c r="N62" s="29"/>
      <c r="O62" s="30"/>
    </row>
    <row r="63" spans="2:17" ht="15.75" x14ac:dyDescent="0.25">
      <c r="B63" s="76" t="s">
        <v>35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1"/>
      <c r="O63" s="20"/>
    </row>
    <row r="64" spans="2:17" x14ac:dyDescent="0.25">
      <c r="B64" s="107" t="s">
        <v>1</v>
      </c>
      <c r="C64" s="85" t="s">
        <v>2</v>
      </c>
      <c r="D64" s="85" t="s">
        <v>3</v>
      </c>
      <c r="E64" s="89" t="s">
        <v>4</v>
      </c>
      <c r="F64" s="90"/>
      <c r="G64" s="87" t="s">
        <v>5</v>
      </c>
      <c r="H64" s="83" t="s">
        <v>6</v>
      </c>
      <c r="I64" s="87" t="s">
        <v>7</v>
      </c>
      <c r="J64" s="87" t="s">
        <v>8</v>
      </c>
      <c r="K64" s="85" t="s">
        <v>9</v>
      </c>
      <c r="L64" s="85" t="s">
        <v>10</v>
      </c>
      <c r="M64" s="83" t="s">
        <v>11</v>
      </c>
      <c r="N64" s="83" t="s">
        <v>12</v>
      </c>
      <c r="O64" s="81" t="s">
        <v>13</v>
      </c>
    </row>
    <row r="65" spans="2:17" x14ac:dyDescent="0.25">
      <c r="B65" s="108"/>
      <c r="C65" s="86"/>
      <c r="D65" s="86"/>
      <c r="E65" s="2" t="s">
        <v>14</v>
      </c>
      <c r="F65" s="2" t="s">
        <v>15</v>
      </c>
      <c r="G65" s="88"/>
      <c r="H65" s="84"/>
      <c r="I65" s="88"/>
      <c r="J65" s="88"/>
      <c r="K65" s="86"/>
      <c r="L65" s="86"/>
      <c r="M65" s="84"/>
      <c r="N65" s="84"/>
      <c r="O65" s="82"/>
    </row>
    <row r="66" spans="2:17" x14ac:dyDescent="0.25">
      <c r="B66" s="53">
        <v>45985</v>
      </c>
      <c r="C66" s="3" t="s">
        <v>52</v>
      </c>
      <c r="D66" s="4" t="s">
        <v>38</v>
      </c>
      <c r="E66" s="5">
        <v>10</v>
      </c>
      <c r="F66" s="5">
        <v>30</v>
      </c>
      <c r="G66" s="6" t="s">
        <v>26</v>
      </c>
      <c r="H66" s="5" t="s">
        <v>16</v>
      </c>
      <c r="I66" s="5" t="s">
        <v>16</v>
      </c>
      <c r="J66" s="7" t="s">
        <v>17</v>
      </c>
      <c r="K66" s="14">
        <v>9.4583333333333339</v>
      </c>
      <c r="L66" s="14">
        <v>10.895833333333334</v>
      </c>
      <c r="M66" s="33" t="s">
        <v>24</v>
      </c>
      <c r="N66" s="15">
        <f>(L1073-K1073)-TIME(9,0,0)</f>
        <v>-0.375</v>
      </c>
      <c r="O66" s="22">
        <f>L66-K66</f>
        <v>1.4375</v>
      </c>
    </row>
    <row r="67" spans="2:17" ht="30.75" thickBot="1" x14ac:dyDescent="0.3">
      <c r="B67" s="53">
        <v>45985</v>
      </c>
      <c r="C67" s="3" t="s">
        <v>52</v>
      </c>
      <c r="D67" s="4" t="s">
        <v>38</v>
      </c>
      <c r="E67" s="24">
        <v>0</v>
      </c>
      <c r="F67" s="24">
        <v>0</v>
      </c>
      <c r="G67" s="25" t="s">
        <v>20</v>
      </c>
      <c r="H67" s="24" t="s">
        <v>16</v>
      </c>
      <c r="I67" s="24" t="s">
        <v>16</v>
      </c>
      <c r="J67" s="26"/>
      <c r="K67" s="27"/>
      <c r="L67" s="27"/>
      <c r="M67" s="34" t="s">
        <v>19</v>
      </c>
      <c r="N67" s="29"/>
      <c r="O67" s="30"/>
    </row>
    <row r="68" spans="2:17" ht="15.75" x14ac:dyDescent="0.25">
      <c r="B68" s="76" t="s">
        <v>35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1"/>
      <c r="O68" s="20"/>
    </row>
    <row r="69" spans="2:17" x14ac:dyDescent="0.25">
      <c r="B69" s="107" t="s">
        <v>1</v>
      </c>
      <c r="C69" s="85" t="s">
        <v>2</v>
      </c>
      <c r="D69" s="85" t="s">
        <v>3</v>
      </c>
      <c r="E69" s="89" t="s">
        <v>4</v>
      </c>
      <c r="F69" s="90"/>
      <c r="G69" s="87" t="s">
        <v>5</v>
      </c>
      <c r="H69" s="83" t="s">
        <v>6</v>
      </c>
      <c r="I69" s="87" t="s">
        <v>7</v>
      </c>
      <c r="J69" s="87" t="s">
        <v>8</v>
      </c>
      <c r="K69" s="85" t="s">
        <v>9</v>
      </c>
      <c r="L69" s="85" t="s">
        <v>10</v>
      </c>
      <c r="M69" s="83" t="s">
        <v>11</v>
      </c>
      <c r="N69" s="83" t="s">
        <v>12</v>
      </c>
      <c r="O69" s="81" t="s">
        <v>13</v>
      </c>
    </row>
    <row r="70" spans="2:17" x14ac:dyDescent="0.25">
      <c r="B70" s="108"/>
      <c r="C70" s="86"/>
      <c r="D70" s="86"/>
      <c r="E70" s="2" t="s">
        <v>14</v>
      </c>
      <c r="F70" s="2" t="s">
        <v>15</v>
      </c>
      <c r="G70" s="88"/>
      <c r="H70" s="84"/>
      <c r="I70" s="88"/>
      <c r="J70" s="88"/>
      <c r="K70" s="86"/>
      <c r="L70" s="86"/>
      <c r="M70" s="84"/>
      <c r="N70" s="84"/>
      <c r="O70" s="82"/>
      <c r="P70" s="2" t="s">
        <v>14</v>
      </c>
      <c r="Q70" s="2" t="s">
        <v>15</v>
      </c>
    </row>
    <row r="71" spans="2:17" x14ac:dyDescent="0.25">
      <c r="B71" s="53">
        <v>45987</v>
      </c>
      <c r="C71" s="3" t="s">
        <v>52</v>
      </c>
      <c r="D71" s="4" t="s">
        <v>38</v>
      </c>
      <c r="E71" s="5">
        <v>10</v>
      </c>
      <c r="F71" s="5">
        <v>30</v>
      </c>
      <c r="G71" s="6" t="s">
        <v>26</v>
      </c>
      <c r="H71" s="5" t="s">
        <v>16</v>
      </c>
      <c r="I71" s="5" t="s">
        <v>16</v>
      </c>
      <c r="J71" s="7" t="s">
        <v>17</v>
      </c>
      <c r="K71" s="14">
        <v>9.4583333333333339</v>
      </c>
      <c r="L71" s="14">
        <v>10.895833333333334</v>
      </c>
      <c r="M71" s="33" t="s">
        <v>27</v>
      </c>
      <c r="N71" s="15">
        <f>(L1078-K1078)-TIME(9,0,0)</f>
        <v>-0.375</v>
      </c>
      <c r="O71" s="22">
        <f>L71-K71</f>
        <v>1.4375</v>
      </c>
      <c r="P71" s="45">
        <f>SUM(E102,E107,E97)</f>
        <v>42</v>
      </c>
      <c r="Q71" s="45">
        <f>SUM(F102,F107,F97)</f>
        <v>0</v>
      </c>
    </row>
    <row r="72" spans="2:17" ht="30.75" thickBot="1" x14ac:dyDescent="0.3">
      <c r="B72" s="53">
        <v>45987</v>
      </c>
      <c r="C72" s="3" t="s">
        <v>52</v>
      </c>
      <c r="D72" s="4" t="s">
        <v>38</v>
      </c>
      <c r="E72" s="24">
        <v>0</v>
      </c>
      <c r="F72" s="24">
        <v>0</v>
      </c>
      <c r="G72" s="25" t="s">
        <v>20</v>
      </c>
      <c r="H72" s="24" t="s">
        <v>16</v>
      </c>
      <c r="I72" s="24" t="s">
        <v>16</v>
      </c>
      <c r="J72" s="26"/>
      <c r="K72" s="27"/>
      <c r="L72" s="27"/>
      <c r="M72" s="34" t="s">
        <v>19</v>
      </c>
      <c r="N72" s="29"/>
      <c r="O72" s="30"/>
      <c r="P72" s="46"/>
      <c r="Q72" s="46">
        <f>Q71/60</f>
        <v>0</v>
      </c>
    </row>
    <row r="73" spans="2:17" ht="15.75" x14ac:dyDescent="0.25">
      <c r="B73" s="76" t="s">
        <v>35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1"/>
      <c r="O73" s="20"/>
      <c r="P73" s="13" t="s">
        <v>21</v>
      </c>
      <c r="Q73" s="13">
        <f>P71+Q72</f>
        <v>42</v>
      </c>
    </row>
    <row r="74" spans="2:17" x14ac:dyDescent="0.25">
      <c r="B74" s="107" t="s">
        <v>1</v>
      </c>
      <c r="C74" s="85" t="s">
        <v>2</v>
      </c>
      <c r="D74" s="85" t="s">
        <v>3</v>
      </c>
      <c r="E74" s="89" t="s">
        <v>4</v>
      </c>
      <c r="F74" s="90"/>
      <c r="G74" s="87" t="s">
        <v>5</v>
      </c>
      <c r="H74" s="83" t="s">
        <v>6</v>
      </c>
      <c r="I74" s="87" t="s">
        <v>7</v>
      </c>
      <c r="J74" s="87" t="s">
        <v>8</v>
      </c>
      <c r="K74" s="85" t="s">
        <v>9</v>
      </c>
      <c r="L74" s="85" t="s">
        <v>10</v>
      </c>
      <c r="M74" s="83" t="s">
        <v>11</v>
      </c>
      <c r="N74" s="83" t="s">
        <v>12</v>
      </c>
      <c r="O74" s="81" t="s">
        <v>13</v>
      </c>
    </row>
    <row r="75" spans="2:17" x14ac:dyDescent="0.25">
      <c r="B75" s="108"/>
      <c r="C75" s="86"/>
      <c r="D75" s="86"/>
      <c r="E75" s="2" t="s">
        <v>14</v>
      </c>
      <c r="F75" s="2" t="s">
        <v>15</v>
      </c>
      <c r="G75" s="88"/>
      <c r="H75" s="84"/>
      <c r="I75" s="88"/>
      <c r="J75" s="88"/>
      <c r="K75" s="86"/>
      <c r="L75" s="86"/>
      <c r="M75" s="84"/>
      <c r="N75" s="84"/>
      <c r="O75" s="82"/>
    </row>
    <row r="76" spans="2:17" x14ac:dyDescent="0.25">
      <c r="B76" s="53">
        <v>45991</v>
      </c>
      <c r="C76" s="3" t="s">
        <v>52</v>
      </c>
      <c r="D76" s="4" t="s">
        <v>38</v>
      </c>
      <c r="E76" s="5">
        <v>10</v>
      </c>
      <c r="F76" s="5">
        <v>30</v>
      </c>
      <c r="G76" s="6" t="s">
        <v>26</v>
      </c>
      <c r="H76" s="5" t="s">
        <v>16</v>
      </c>
      <c r="I76" s="5" t="s">
        <v>16</v>
      </c>
      <c r="J76" s="7" t="s">
        <v>17</v>
      </c>
      <c r="K76" s="14">
        <v>9.4583333333333339</v>
      </c>
      <c r="L76" s="14">
        <v>10.895833333333334</v>
      </c>
      <c r="M76" s="33" t="s">
        <v>23</v>
      </c>
      <c r="N76" s="15">
        <f>(L1083-K1083)-TIME(9,0,0)</f>
        <v>-0.375</v>
      </c>
      <c r="O76" s="22">
        <f>L76-K76</f>
        <v>1.4375</v>
      </c>
    </row>
    <row r="77" spans="2:17" ht="15.75" thickBot="1" x14ac:dyDescent="0.3">
      <c r="B77" s="53">
        <v>45991</v>
      </c>
      <c r="C77" s="3" t="s">
        <v>52</v>
      </c>
      <c r="D77" s="4" t="s">
        <v>38</v>
      </c>
      <c r="E77" s="24">
        <v>0</v>
      </c>
      <c r="F77" s="24">
        <v>0</v>
      </c>
      <c r="G77" s="25" t="s">
        <v>20</v>
      </c>
      <c r="H77" s="24" t="s">
        <v>16</v>
      </c>
      <c r="I77" s="24" t="s">
        <v>16</v>
      </c>
      <c r="J77" s="26"/>
      <c r="K77" s="27"/>
      <c r="L77" s="27"/>
      <c r="M77" s="34" t="s">
        <v>19</v>
      </c>
      <c r="N77" s="29"/>
      <c r="O77" s="30"/>
    </row>
    <row r="78" spans="2:17" ht="61.5" x14ac:dyDescent="0.25">
      <c r="B78" s="78" t="s">
        <v>47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10"/>
    </row>
    <row r="79" spans="2:17" ht="15" customHeight="1" x14ac:dyDescent="0.25">
      <c r="B79" s="76" t="s">
        <v>35</v>
      </c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1"/>
      <c r="O79" s="20"/>
    </row>
    <row r="80" spans="2:17" ht="15" customHeight="1" x14ac:dyDescent="0.25">
      <c r="B80" s="107" t="s">
        <v>1</v>
      </c>
      <c r="C80" s="85" t="s">
        <v>2</v>
      </c>
      <c r="D80" s="85" t="s">
        <v>3</v>
      </c>
      <c r="E80" s="89" t="s">
        <v>4</v>
      </c>
      <c r="F80" s="90"/>
      <c r="G80" s="87" t="s">
        <v>5</v>
      </c>
      <c r="H80" s="83" t="s">
        <v>6</v>
      </c>
      <c r="I80" s="87" t="s">
        <v>7</v>
      </c>
      <c r="J80" s="87" t="s">
        <v>8</v>
      </c>
      <c r="K80" s="85" t="s">
        <v>9</v>
      </c>
      <c r="L80" s="85" t="s">
        <v>10</v>
      </c>
      <c r="M80" s="83" t="s">
        <v>11</v>
      </c>
      <c r="N80" s="83" t="s">
        <v>12</v>
      </c>
      <c r="O80" s="81" t="s">
        <v>13</v>
      </c>
    </row>
    <row r="81" spans="2:15" x14ac:dyDescent="0.25">
      <c r="B81" s="108"/>
      <c r="C81" s="86"/>
      <c r="D81" s="86"/>
      <c r="E81" s="2" t="s">
        <v>14</v>
      </c>
      <c r="F81" s="2" t="s">
        <v>15</v>
      </c>
      <c r="G81" s="88"/>
      <c r="H81" s="84"/>
      <c r="I81" s="88"/>
      <c r="J81" s="88"/>
      <c r="K81" s="86"/>
      <c r="L81" s="86"/>
      <c r="M81" s="84"/>
      <c r="N81" s="84"/>
      <c r="O81" s="82"/>
    </row>
    <row r="82" spans="2:15" x14ac:dyDescent="0.25">
      <c r="B82" s="53">
        <v>45992</v>
      </c>
      <c r="C82" s="3" t="s">
        <v>52</v>
      </c>
      <c r="D82" s="4" t="s">
        <v>38</v>
      </c>
      <c r="E82" s="5">
        <v>9</v>
      </c>
      <c r="F82" s="5">
        <v>30</v>
      </c>
      <c r="G82" s="6" t="s">
        <v>26</v>
      </c>
      <c r="H82" s="5" t="s">
        <v>16</v>
      </c>
      <c r="I82" s="5" t="s">
        <v>16</v>
      </c>
      <c r="J82" s="7" t="s">
        <v>17</v>
      </c>
      <c r="K82" s="14">
        <v>9.5</v>
      </c>
      <c r="L82" s="14">
        <v>10.895833333333334</v>
      </c>
      <c r="M82" s="33" t="s">
        <v>24</v>
      </c>
      <c r="N82" s="15">
        <f>(L1059-K1059)-TIME(9,0,0)</f>
        <v>-0.375</v>
      </c>
      <c r="O82" s="22">
        <f>L82-K82</f>
        <v>1.3958333333333339</v>
      </c>
    </row>
    <row r="83" spans="2:15" ht="30.75" thickBot="1" x14ac:dyDescent="0.3">
      <c r="B83" s="53">
        <v>45992</v>
      </c>
      <c r="C83" s="3" t="s">
        <v>52</v>
      </c>
      <c r="D83" s="4" t="s">
        <v>38</v>
      </c>
      <c r="E83" s="24">
        <v>0</v>
      </c>
      <c r="F83" s="24">
        <v>0</v>
      </c>
      <c r="G83" s="25" t="s">
        <v>20</v>
      </c>
      <c r="H83" s="24" t="s">
        <v>16</v>
      </c>
      <c r="I83" s="24" t="s">
        <v>16</v>
      </c>
      <c r="J83" s="26"/>
      <c r="K83" s="27"/>
      <c r="L83" s="27"/>
      <c r="M83" s="34" t="s">
        <v>19</v>
      </c>
      <c r="N83" s="29"/>
      <c r="O83" s="30"/>
    </row>
    <row r="84" spans="2:15" ht="15.75" x14ac:dyDescent="0.25">
      <c r="B84" s="76" t="s">
        <v>35</v>
      </c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1"/>
      <c r="O84" s="20"/>
    </row>
    <row r="85" spans="2:15" x14ac:dyDescent="0.25">
      <c r="B85" s="107" t="s">
        <v>1</v>
      </c>
      <c r="C85" s="85" t="s">
        <v>2</v>
      </c>
      <c r="D85" s="85" t="s">
        <v>3</v>
      </c>
      <c r="E85" s="89" t="s">
        <v>4</v>
      </c>
      <c r="F85" s="90"/>
      <c r="G85" s="87" t="s">
        <v>5</v>
      </c>
      <c r="H85" s="83" t="s">
        <v>6</v>
      </c>
      <c r="I85" s="87" t="s">
        <v>7</v>
      </c>
      <c r="J85" s="87" t="s">
        <v>8</v>
      </c>
      <c r="K85" s="85" t="s">
        <v>9</v>
      </c>
      <c r="L85" s="85" t="s">
        <v>10</v>
      </c>
      <c r="M85" s="83" t="s">
        <v>11</v>
      </c>
      <c r="N85" s="83" t="s">
        <v>12</v>
      </c>
      <c r="O85" s="81" t="s">
        <v>13</v>
      </c>
    </row>
    <row r="86" spans="2:15" x14ac:dyDescent="0.25">
      <c r="B86" s="108"/>
      <c r="C86" s="86"/>
      <c r="D86" s="86"/>
      <c r="E86" s="2" t="s">
        <v>14</v>
      </c>
      <c r="F86" s="2" t="s">
        <v>15</v>
      </c>
      <c r="G86" s="88"/>
      <c r="H86" s="84"/>
      <c r="I86" s="88"/>
      <c r="J86" s="88"/>
      <c r="K86" s="86"/>
      <c r="L86" s="86"/>
      <c r="M86" s="84"/>
      <c r="N86" s="84"/>
      <c r="O86" s="82"/>
    </row>
    <row r="87" spans="2:15" x14ac:dyDescent="0.25">
      <c r="B87" s="53">
        <v>45993</v>
      </c>
      <c r="C87" s="3" t="s">
        <v>52</v>
      </c>
      <c r="D87" s="4" t="s">
        <v>38</v>
      </c>
      <c r="E87" s="5">
        <v>9</v>
      </c>
      <c r="F87" s="5">
        <v>30</v>
      </c>
      <c r="G87" s="6" t="s">
        <v>26</v>
      </c>
      <c r="H87" s="5" t="s">
        <v>16</v>
      </c>
      <c r="I87" s="5" t="s">
        <v>16</v>
      </c>
      <c r="J87" s="7" t="s">
        <v>17</v>
      </c>
      <c r="K87" s="14">
        <v>9.5</v>
      </c>
      <c r="L87" s="14">
        <v>10.895833333333334</v>
      </c>
      <c r="M87" s="33" t="s">
        <v>18</v>
      </c>
      <c r="N87" s="15">
        <f>(L1064-K1064)-TIME(9,0,0)</f>
        <v>-0.375</v>
      </c>
      <c r="O87" s="22">
        <f>L87-K87</f>
        <v>1.3958333333333339</v>
      </c>
    </row>
    <row r="88" spans="2:15" ht="30.75" thickBot="1" x14ac:dyDescent="0.3">
      <c r="B88" s="53">
        <v>45993</v>
      </c>
      <c r="C88" s="3" t="s">
        <v>52</v>
      </c>
      <c r="D88" s="4" t="s">
        <v>38</v>
      </c>
      <c r="E88" s="24">
        <v>0</v>
      </c>
      <c r="F88" s="24">
        <v>0</v>
      </c>
      <c r="G88" s="25" t="s">
        <v>20</v>
      </c>
      <c r="H88" s="24" t="s">
        <v>16</v>
      </c>
      <c r="I88" s="24" t="s">
        <v>16</v>
      </c>
      <c r="J88" s="26"/>
      <c r="K88" s="27"/>
      <c r="L88" s="27"/>
      <c r="M88" s="34" t="s">
        <v>19</v>
      </c>
      <c r="N88" s="29"/>
      <c r="O88" s="30"/>
    </row>
    <row r="89" spans="2:15" ht="15.75" x14ac:dyDescent="0.25">
      <c r="B89" s="76" t="s">
        <v>35</v>
      </c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1"/>
      <c r="O89" s="20"/>
    </row>
    <row r="90" spans="2:15" x14ac:dyDescent="0.25">
      <c r="B90" s="107" t="s">
        <v>1</v>
      </c>
      <c r="C90" s="85" t="s">
        <v>2</v>
      </c>
      <c r="D90" s="85" t="s">
        <v>3</v>
      </c>
      <c r="E90" s="89" t="s">
        <v>4</v>
      </c>
      <c r="F90" s="90"/>
      <c r="G90" s="87" t="s">
        <v>5</v>
      </c>
      <c r="H90" s="83" t="s">
        <v>6</v>
      </c>
      <c r="I90" s="87" t="s">
        <v>7</v>
      </c>
      <c r="J90" s="87" t="s">
        <v>8</v>
      </c>
      <c r="K90" s="85" t="s">
        <v>9</v>
      </c>
      <c r="L90" s="85" t="s">
        <v>10</v>
      </c>
      <c r="M90" s="83" t="s">
        <v>11</v>
      </c>
      <c r="N90" s="83" t="s">
        <v>12</v>
      </c>
      <c r="O90" s="81" t="s">
        <v>13</v>
      </c>
    </row>
    <row r="91" spans="2:15" x14ac:dyDescent="0.25">
      <c r="B91" s="108"/>
      <c r="C91" s="86"/>
      <c r="D91" s="86"/>
      <c r="E91" s="2" t="s">
        <v>14</v>
      </c>
      <c r="F91" s="2" t="s">
        <v>15</v>
      </c>
      <c r="G91" s="88"/>
      <c r="H91" s="84"/>
      <c r="I91" s="88"/>
      <c r="J91" s="88"/>
      <c r="K91" s="86"/>
      <c r="L91" s="86"/>
      <c r="M91" s="84"/>
      <c r="N91" s="84"/>
      <c r="O91" s="82"/>
    </row>
    <row r="92" spans="2:15" x14ac:dyDescent="0.25">
      <c r="B92" s="53">
        <v>45994</v>
      </c>
      <c r="C92" s="3" t="s">
        <v>52</v>
      </c>
      <c r="D92" s="4" t="s">
        <v>38</v>
      </c>
      <c r="E92" s="5">
        <v>9</v>
      </c>
      <c r="F92" s="5">
        <v>30</v>
      </c>
      <c r="G92" s="6" t="s">
        <v>26</v>
      </c>
      <c r="H92" s="5" t="s">
        <v>16</v>
      </c>
      <c r="I92" s="5" t="s">
        <v>16</v>
      </c>
      <c r="J92" s="7" t="s">
        <v>17</v>
      </c>
      <c r="K92" s="14">
        <v>9.5</v>
      </c>
      <c r="L92" s="14">
        <v>10.895833333333334</v>
      </c>
      <c r="M92" s="33" t="s">
        <v>27</v>
      </c>
      <c r="N92" s="15">
        <f>(L1069-K1069)-TIME(9,0,0)</f>
        <v>-0.375</v>
      </c>
      <c r="O92" s="22">
        <f>L92-K92</f>
        <v>1.3958333333333339</v>
      </c>
    </row>
    <row r="93" spans="2:15" ht="30.75" thickBot="1" x14ac:dyDescent="0.3">
      <c r="B93" s="53">
        <v>45994</v>
      </c>
      <c r="C93" s="3" t="s">
        <v>52</v>
      </c>
      <c r="D93" s="4" t="s">
        <v>38</v>
      </c>
      <c r="E93" s="24">
        <v>0</v>
      </c>
      <c r="F93" s="24">
        <v>0</v>
      </c>
      <c r="G93" s="25" t="s">
        <v>20</v>
      </c>
      <c r="H93" s="24" t="s">
        <v>16</v>
      </c>
      <c r="I93" s="24" t="s">
        <v>16</v>
      </c>
      <c r="J93" s="26"/>
      <c r="K93" s="27"/>
      <c r="L93" s="27"/>
      <c r="M93" s="34" t="s">
        <v>19</v>
      </c>
      <c r="N93" s="29"/>
      <c r="O93" s="30"/>
    </row>
    <row r="94" spans="2:15" ht="15.75" x14ac:dyDescent="0.25">
      <c r="B94" s="76" t="s">
        <v>35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1"/>
      <c r="O94" s="20"/>
    </row>
    <row r="95" spans="2:15" x14ac:dyDescent="0.25">
      <c r="B95" s="107" t="s">
        <v>1</v>
      </c>
      <c r="C95" s="85" t="s">
        <v>2</v>
      </c>
      <c r="D95" s="85" t="s">
        <v>3</v>
      </c>
      <c r="E95" s="89" t="s">
        <v>4</v>
      </c>
      <c r="F95" s="90"/>
      <c r="G95" s="87" t="s">
        <v>5</v>
      </c>
      <c r="H95" s="83" t="s">
        <v>6</v>
      </c>
      <c r="I95" s="87" t="s">
        <v>7</v>
      </c>
      <c r="J95" s="87" t="s">
        <v>8</v>
      </c>
      <c r="K95" s="85" t="s">
        <v>9</v>
      </c>
      <c r="L95" s="85" t="s">
        <v>10</v>
      </c>
      <c r="M95" s="83" t="s">
        <v>11</v>
      </c>
      <c r="N95" s="83" t="s">
        <v>12</v>
      </c>
      <c r="O95" s="81" t="s">
        <v>13</v>
      </c>
    </row>
    <row r="96" spans="2:15" x14ac:dyDescent="0.25">
      <c r="B96" s="108"/>
      <c r="C96" s="86"/>
      <c r="D96" s="86"/>
      <c r="E96" s="2" t="s">
        <v>14</v>
      </c>
      <c r="F96" s="2" t="s">
        <v>15</v>
      </c>
      <c r="G96" s="88"/>
      <c r="H96" s="84"/>
      <c r="I96" s="88"/>
      <c r="J96" s="88"/>
      <c r="K96" s="86"/>
      <c r="L96" s="86"/>
      <c r="M96" s="84"/>
      <c r="N96" s="84"/>
      <c r="O96" s="82"/>
    </row>
    <row r="97" spans="2:15" x14ac:dyDescent="0.25">
      <c r="B97" s="53">
        <v>45997</v>
      </c>
      <c r="C97" s="3" t="s">
        <v>36</v>
      </c>
      <c r="D97" s="4" t="s">
        <v>38</v>
      </c>
      <c r="E97" s="5">
        <v>16</v>
      </c>
      <c r="F97" s="5">
        <v>0</v>
      </c>
      <c r="G97" s="6" t="s">
        <v>26</v>
      </c>
      <c r="H97" s="5" t="s">
        <v>16</v>
      </c>
      <c r="I97" s="5" t="s">
        <v>16</v>
      </c>
      <c r="J97" s="7" t="s">
        <v>17</v>
      </c>
      <c r="K97" s="14">
        <v>9.2916666666666661</v>
      </c>
      <c r="L97" s="14">
        <v>10.958333333333334</v>
      </c>
      <c r="M97" s="33" t="s">
        <v>28</v>
      </c>
      <c r="N97" s="15">
        <f>(L1089-K1089)-TIME(9,0,0)</f>
        <v>-0.375</v>
      </c>
      <c r="O97" s="22">
        <f>L97-K97</f>
        <v>1.6666666666666679</v>
      </c>
    </row>
    <row r="98" spans="2:15" ht="15.75" thickBot="1" x14ac:dyDescent="0.3">
      <c r="B98" s="53">
        <v>45967</v>
      </c>
      <c r="C98" s="23" t="s">
        <v>36</v>
      </c>
      <c r="D98" s="4" t="s">
        <v>38</v>
      </c>
      <c r="E98" s="24">
        <v>0</v>
      </c>
      <c r="F98" s="24">
        <v>0</v>
      </c>
      <c r="G98" s="25" t="s">
        <v>20</v>
      </c>
      <c r="H98" s="24" t="s">
        <v>16</v>
      </c>
      <c r="I98" s="24" t="s">
        <v>16</v>
      </c>
      <c r="J98" s="26"/>
      <c r="K98" s="27"/>
      <c r="L98" s="27"/>
      <c r="M98" s="34" t="s">
        <v>19</v>
      </c>
      <c r="N98" s="29"/>
      <c r="O98" s="30"/>
    </row>
    <row r="99" spans="2:15" ht="15.75" x14ac:dyDescent="0.25">
      <c r="B99" s="99" t="s">
        <v>35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"/>
      <c r="O99" s="20"/>
    </row>
    <row r="100" spans="2:15" x14ac:dyDescent="0.25">
      <c r="B100" s="107" t="s">
        <v>1</v>
      </c>
      <c r="C100" s="85" t="s">
        <v>2</v>
      </c>
      <c r="D100" s="85" t="s">
        <v>3</v>
      </c>
      <c r="E100" s="89" t="s">
        <v>4</v>
      </c>
      <c r="F100" s="90"/>
      <c r="G100" s="87" t="s">
        <v>5</v>
      </c>
      <c r="H100" s="83" t="s">
        <v>6</v>
      </c>
      <c r="I100" s="87" t="s">
        <v>7</v>
      </c>
      <c r="J100" s="87" t="s">
        <v>8</v>
      </c>
      <c r="K100" s="85" t="s">
        <v>9</v>
      </c>
      <c r="L100" s="85" t="s">
        <v>10</v>
      </c>
      <c r="M100" s="83" t="s">
        <v>11</v>
      </c>
      <c r="N100" s="83" t="s">
        <v>12</v>
      </c>
      <c r="O100" s="81" t="s">
        <v>13</v>
      </c>
    </row>
    <row r="101" spans="2:15" x14ac:dyDescent="0.25">
      <c r="B101" s="108"/>
      <c r="C101" s="86"/>
      <c r="D101" s="86"/>
      <c r="E101" s="2" t="s">
        <v>14</v>
      </c>
      <c r="F101" s="2" t="s">
        <v>15</v>
      </c>
      <c r="G101" s="88"/>
      <c r="H101" s="84"/>
      <c r="I101" s="88"/>
      <c r="J101" s="88"/>
      <c r="K101" s="86"/>
      <c r="L101" s="86"/>
      <c r="M101" s="84"/>
      <c r="N101" s="84"/>
      <c r="O101" s="82"/>
    </row>
    <row r="102" spans="2:15" x14ac:dyDescent="0.25">
      <c r="B102" s="53">
        <v>45999</v>
      </c>
      <c r="C102" s="3" t="s">
        <v>36</v>
      </c>
      <c r="D102" s="4" t="s">
        <v>38</v>
      </c>
      <c r="E102" s="5">
        <v>10</v>
      </c>
      <c r="F102" s="5">
        <v>0</v>
      </c>
      <c r="G102" s="6" t="s">
        <v>26</v>
      </c>
      <c r="H102" s="5" t="s">
        <v>16</v>
      </c>
      <c r="I102" s="5" t="s">
        <v>16</v>
      </c>
      <c r="J102" s="7" t="s">
        <v>17</v>
      </c>
      <c r="K102" s="14">
        <v>9.2916666666666661</v>
      </c>
      <c r="L102" s="14">
        <v>10.708333333333334</v>
      </c>
      <c r="M102" s="33" t="s">
        <v>22</v>
      </c>
      <c r="N102" s="15">
        <f>(L1094-K1094)-TIME(9,0,0)</f>
        <v>-0.375</v>
      </c>
      <c r="O102" s="22">
        <f>L102-K102</f>
        <v>1.4166666666666679</v>
      </c>
    </row>
    <row r="103" spans="2:15" ht="15.75" thickBot="1" x14ac:dyDescent="0.3">
      <c r="B103" s="53">
        <v>45999</v>
      </c>
      <c r="C103" s="23" t="s">
        <v>36</v>
      </c>
      <c r="D103" s="4" t="s">
        <v>38</v>
      </c>
      <c r="E103" s="24">
        <v>0</v>
      </c>
      <c r="F103" s="24">
        <v>0</v>
      </c>
      <c r="G103" s="25" t="s">
        <v>20</v>
      </c>
      <c r="H103" s="24" t="s">
        <v>16</v>
      </c>
      <c r="I103" s="24" t="s">
        <v>16</v>
      </c>
      <c r="J103" s="26"/>
      <c r="K103" s="27"/>
      <c r="L103" s="27"/>
      <c r="M103" s="34" t="s">
        <v>19</v>
      </c>
      <c r="N103" s="29"/>
      <c r="O103" s="30"/>
    </row>
    <row r="104" spans="2:15" ht="15.75" x14ac:dyDescent="0.25">
      <c r="B104" s="99" t="s">
        <v>35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"/>
      <c r="O104" s="20"/>
    </row>
    <row r="105" spans="2:15" x14ac:dyDescent="0.25">
      <c r="B105" s="107" t="s">
        <v>1</v>
      </c>
      <c r="C105" s="85" t="s">
        <v>2</v>
      </c>
      <c r="D105" s="85" t="s">
        <v>3</v>
      </c>
      <c r="E105" s="89" t="s">
        <v>4</v>
      </c>
      <c r="F105" s="90"/>
      <c r="G105" s="87" t="s">
        <v>5</v>
      </c>
      <c r="H105" s="83" t="s">
        <v>6</v>
      </c>
      <c r="I105" s="87" t="s">
        <v>7</v>
      </c>
      <c r="J105" s="87" t="s">
        <v>8</v>
      </c>
      <c r="K105" s="85" t="s">
        <v>9</v>
      </c>
      <c r="L105" s="85" t="s">
        <v>10</v>
      </c>
      <c r="M105" s="83" t="s">
        <v>11</v>
      </c>
      <c r="N105" s="83" t="s">
        <v>12</v>
      </c>
      <c r="O105" s="81" t="s">
        <v>13</v>
      </c>
    </row>
    <row r="106" spans="2:15" x14ac:dyDescent="0.25">
      <c r="B106" s="108"/>
      <c r="C106" s="86"/>
      <c r="D106" s="86"/>
      <c r="E106" s="2" t="s">
        <v>14</v>
      </c>
      <c r="F106" s="2" t="s">
        <v>15</v>
      </c>
      <c r="G106" s="88"/>
      <c r="H106" s="84"/>
      <c r="I106" s="88"/>
      <c r="J106" s="88"/>
      <c r="K106" s="86"/>
      <c r="L106" s="86"/>
      <c r="M106" s="84"/>
      <c r="N106" s="84"/>
      <c r="O106" s="82"/>
    </row>
    <row r="107" spans="2:15" x14ac:dyDescent="0.25">
      <c r="B107" s="53">
        <v>46004</v>
      </c>
      <c r="C107" s="3" t="s">
        <v>36</v>
      </c>
      <c r="D107" s="4" t="s">
        <v>38</v>
      </c>
      <c r="E107" s="5">
        <v>16</v>
      </c>
      <c r="F107" s="5">
        <v>0</v>
      </c>
      <c r="G107" s="6" t="s">
        <v>26</v>
      </c>
      <c r="H107" s="5" t="s">
        <v>16</v>
      </c>
      <c r="I107" s="5" t="s">
        <v>16</v>
      </c>
      <c r="J107" s="7" t="s">
        <v>17</v>
      </c>
      <c r="K107" s="14">
        <v>9.2916666666666661</v>
      </c>
      <c r="L107" s="14">
        <v>10.958333333333334</v>
      </c>
      <c r="M107" s="33" t="s">
        <v>28</v>
      </c>
      <c r="N107" s="15">
        <f>(L1099-K1099)-TIME(9,0,0)</f>
        <v>-0.375</v>
      </c>
      <c r="O107" s="22">
        <f>L107-K107</f>
        <v>1.6666666666666679</v>
      </c>
    </row>
    <row r="108" spans="2:15" ht="15.75" thickBot="1" x14ac:dyDescent="0.3">
      <c r="B108" s="53">
        <v>46004</v>
      </c>
      <c r="C108" s="23" t="s">
        <v>36</v>
      </c>
      <c r="D108" s="4" t="s">
        <v>38</v>
      </c>
      <c r="E108" s="24">
        <v>0</v>
      </c>
      <c r="F108" s="24">
        <v>0</v>
      </c>
      <c r="G108" s="25" t="s">
        <v>20</v>
      </c>
      <c r="H108" s="24" t="s">
        <v>16</v>
      </c>
      <c r="I108" s="24" t="s">
        <v>16</v>
      </c>
      <c r="J108" s="26"/>
      <c r="K108" s="27"/>
      <c r="L108" s="27"/>
      <c r="M108" s="34" t="s">
        <v>19</v>
      </c>
      <c r="N108" s="29"/>
      <c r="O108" s="30"/>
    </row>
    <row r="109" spans="2:15" x14ac:dyDescent="0.25">
      <c r="B109" s="54"/>
      <c r="C109" s="8"/>
      <c r="D109" s="9"/>
      <c r="E109" s="10">
        <f>SUM(E107:E108)</f>
        <v>16</v>
      </c>
      <c r="F109" s="10">
        <f>SUM(F107:F108)</f>
        <v>0</v>
      </c>
      <c r="G109" s="11"/>
      <c r="H109" s="11"/>
      <c r="I109" s="11"/>
      <c r="J109" s="11"/>
      <c r="K109" s="12"/>
      <c r="L109" s="12"/>
      <c r="M109" s="9"/>
      <c r="N109" s="9"/>
      <c r="O109" s="9"/>
    </row>
    <row r="110" spans="2:15" x14ac:dyDescent="0.25">
      <c r="B110" s="54"/>
      <c r="C110" s="8"/>
      <c r="D110" s="9"/>
      <c r="E110" s="11"/>
      <c r="F110" s="11">
        <f>F109/60</f>
        <v>0</v>
      </c>
      <c r="G110" s="11"/>
      <c r="H110" s="11"/>
      <c r="I110" s="11"/>
      <c r="J110" s="11"/>
      <c r="K110" s="12"/>
      <c r="L110" s="12"/>
      <c r="M110" s="9"/>
      <c r="N110" s="9"/>
      <c r="O110" s="9"/>
    </row>
    <row r="111" spans="2:15" x14ac:dyDescent="0.25">
      <c r="B111" s="54"/>
      <c r="C111" s="8"/>
      <c r="D111" s="9"/>
      <c r="E111" s="13" t="s">
        <v>21</v>
      </c>
      <c r="F111" s="13">
        <f>E109+F110</f>
        <v>16</v>
      </c>
      <c r="G111" s="11"/>
      <c r="H111" s="11"/>
      <c r="I111" s="11"/>
      <c r="J111" s="11"/>
      <c r="K111" s="12"/>
      <c r="L111" s="12"/>
      <c r="M111" s="9"/>
      <c r="N111" s="9"/>
      <c r="O111" s="41"/>
    </row>
  </sheetData>
  <mergeCells count="269">
    <mergeCell ref="B94:M94"/>
    <mergeCell ref="B78:O78"/>
    <mergeCell ref="B99:M99"/>
    <mergeCell ref="O95:O96"/>
    <mergeCell ref="N95:N96"/>
    <mergeCell ref="M95:M96"/>
    <mergeCell ref="L95:L96"/>
    <mergeCell ref="K95:K96"/>
    <mergeCell ref="J95:J96"/>
    <mergeCell ref="I95:I96"/>
    <mergeCell ref="H95:H96"/>
    <mergeCell ref="G95:G96"/>
    <mergeCell ref="E95:F95"/>
    <mergeCell ref="D95:D96"/>
    <mergeCell ref="C95:C96"/>
    <mergeCell ref="B95:B96"/>
    <mergeCell ref="E105:F105"/>
    <mergeCell ref="D105:D106"/>
    <mergeCell ref="C105:C106"/>
    <mergeCell ref="B105:B106"/>
    <mergeCell ref="B104:M104"/>
    <mergeCell ref="O100:O101"/>
    <mergeCell ref="N100:N101"/>
    <mergeCell ref="M100:M101"/>
    <mergeCell ref="L100:L101"/>
    <mergeCell ref="K100:K101"/>
    <mergeCell ref="J100:J101"/>
    <mergeCell ref="I100:I101"/>
    <mergeCell ref="H100:H101"/>
    <mergeCell ref="G100:G101"/>
    <mergeCell ref="E100:F100"/>
    <mergeCell ref="D100:D101"/>
    <mergeCell ref="C100:C101"/>
    <mergeCell ref="B100:B101"/>
    <mergeCell ref="O105:O106"/>
    <mergeCell ref="N105:N106"/>
    <mergeCell ref="M105:M106"/>
    <mergeCell ref="L105:L106"/>
    <mergeCell ref="K105:K106"/>
    <mergeCell ref="J105:J106"/>
    <mergeCell ref="I105:I106"/>
    <mergeCell ref="H105:H106"/>
    <mergeCell ref="G105:G106"/>
    <mergeCell ref="E54:F54"/>
    <mergeCell ref="D54:D55"/>
    <mergeCell ref="C54:C55"/>
    <mergeCell ref="B54:B55"/>
    <mergeCell ref="B53:M53"/>
    <mergeCell ref="O54:O55"/>
    <mergeCell ref="N54:N55"/>
    <mergeCell ref="M54:M55"/>
    <mergeCell ref="L54:L55"/>
    <mergeCell ref="K54:K55"/>
    <mergeCell ref="J54:J55"/>
    <mergeCell ref="I54:I55"/>
    <mergeCell ref="H54:H55"/>
    <mergeCell ref="G54:G55"/>
    <mergeCell ref="B58:M58"/>
    <mergeCell ref="B59:B60"/>
    <mergeCell ref="C59:C60"/>
    <mergeCell ref="D59:D60"/>
    <mergeCell ref="E59:F59"/>
    <mergeCell ref="G59:G60"/>
    <mergeCell ref="H59:H60"/>
    <mergeCell ref="E33:F33"/>
    <mergeCell ref="D33:D34"/>
    <mergeCell ref="C33:C34"/>
    <mergeCell ref="B33:B34"/>
    <mergeCell ref="B32:M32"/>
    <mergeCell ref="O38:O39"/>
    <mergeCell ref="N38:N39"/>
    <mergeCell ref="M38:M39"/>
    <mergeCell ref="L38:L39"/>
    <mergeCell ref="K38:K39"/>
    <mergeCell ref="J38:J39"/>
    <mergeCell ref="I38:I39"/>
    <mergeCell ref="H38:H39"/>
    <mergeCell ref="G38:G39"/>
    <mergeCell ref="E38:F38"/>
    <mergeCell ref="D38:D39"/>
    <mergeCell ref="C38:C39"/>
    <mergeCell ref="B38:B39"/>
    <mergeCell ref="B37:M37"/>
    <mergeCell ref="O33:O34"/>
    <mergeCell ref="N33:N34"/>
    <mergeCell ref="M33:M34"/>
    <mergeCell ref="L33:L34"/>
    <mergeCell ref="K33:K34"/>
    <mergeCell ref="E28:F28"/>
    <mergeCell ref="D28:D29"/>
    <mergeCell ref="C28:C29"/>
    <mergeCell ref="B28:B29"/>
    <mergeCell ref="B27:M27"/>
    <mergeCell ref="D44:D45"/>
    <mergeCell ref="E44:F44"/>
    <mergeCell ref="G44:G45"/>
    <mergeCell ref="H44:H45"/>
    <mergeCell ref="B43:M43"/>
    <mergeCell ref="B42:O42"/>
    <mergeCell ref="J33:J34"/>
    <mergeCell ref="I33:I34"/>
    <mergeCell ref="H33:H34"/>
    <mergeCell ref="G33:G34"/>
    <mergeCell ref="O28:O29"/>
    <mergeCell ref="N28:N29"/>
    <mergeCell ref="M28:M29"/>
    <mergeCell ref="L28:L29"/>
    <mergeCell ref="K28:K29"/>
    <mergeCell ref="J28:J29"/>
    <mergeCell ref="I28:I29"/>
    <mergeCell ref="H28:H29"/>
    <mergeCell ref="G28:G29"/>
    <mergeCell ref="O49:O50"/>
    <mergeCell ref="O44:O45"/>
    <mergeCell ref="B48:M48"/>
    <mergeCell ref="B49:B50"/>
    <mergeCell ref="C49:C50"/>
    <mergeCell ref="D49:D50"/>
    <mergeCell ref="E49:F49"/>
    <mergeCell ref="G49:G50"/>
    <mergeCell ref="H49:H50"/>
    <mergeCell ref="I49:I50"/>
    <mergeCell ref="J49:J50"/>
    <mergeCell ref="I44:I45"/>
    <mergeCell ref="J44:J45"/>
    <mergeCell ref="K44:K45"/>
    <mergeCell ref="L44:L45"/>
    <mergeCell ref="M44:M45"/>
    <mergeCell ref="N44:N45"/>
    <mergeCell ref="B44:B45"/>
    <mergeCell ref="C44:C45"/>
    <mergeCell ref="B11:O11"/>
    <mergeCell ref="N18:N19"/>
    <mergeCell ref="O18:O19"/>
    <mergeCell ref="B12:M12"/>
    <mergeCell ref="B13:B14"/>
    <mergeCell ref="C13:C14"/>
    <mergeCell ref="D13:D14"/>
    <mergeCell ref="E13:F13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B17:M17"/>
    <mergeCell ref="B18:B19"/>
    <mergeCell ref="C18:C19"/>
    <mergeCell ref="D18:D19"/>
    <mergeCell ref="E18:F18"/>
    <mergeCell ref="G18:G19"/>
    <mergeCell ref="H18:H19"/>
    <mergeCell ref="O23:O24"/>
    <mergeCell ref="B22:M22"/>
    <mergeCell ref="B23:B24"/>
    <mergeCell ref="C23:C24"/>
    <mergeCell ref="D23:D24"/>
    <mergeCell ref="E23:F23"/>
    <mergeCell ref="G23:G24"/>
    <mergeCell ref="H23:H24"/>
    <mergeCell ref="I23:I24"/>
    <mergeCell ref="J23:J24"/>
    <mergeCell ref="K23:K24"/>
    <mergeCell ref="L23:L24"/>
    <mergeCell ref="M23:M24"/>
    <mergeCell ref="I64:I65"/>
    <mergeCell ref="J64:J65"/>
    <mergeCell ref="K64:K65"/>
    <mergeCell ref="I18:I19"/>
    <mergeCell ref="J18:J19"/>
    <mergeCell ref="K18:K19"/>
    <mergeCell ref="L18:L19"/>
    <mergeCell ref="M18:M19"/>
    <mergeCell ref="N23:N24"/>
    <mergeCell ref="K49:K50"/>
    <mergeCell ref="L49:L50"/>
    <mergeCell ref="M49:M50"/>
    <mergeCell ref="N49:N50"/>
    <mergeCell ref="L64:L65"/>
    <mergeCell ref="M64:M65"/>
    <mergeCell ref="N64:N65"/>
    <mergeCell ref="O64:O65"/>
    <mergeCell ref="B68:M68"/>
    <mergeCell ref="B69:B70"/>
    <mergeCell ref="C69:C70"/>
    <mergeCell ref="D69:D70"/>
    <mergeCell ref="E69:F69"/>
    <mergeCell ref="G69:G70"/>
    <mergeCell ref="H69:H70"/>
    <mergeCell ref="I69:I70"/>
    <mergeCell ref="J69:J70"/>
    <mergeCell ref="K69:K70"/>
    <mergeCell ref="L69:L70"/>
    <mergeCell ref="M69:M70"/>
    <mergeCell ref="N69:N70"/>
    <mergeCell ref="O69:O70"/>
    <mergeCell ref="B64:B65"/>
    <mergeCell ref="C64:C65"/>
    <mergeCell ref="D64:D65"/>
    <mergeCell ref="E64:F64"/>
    <mergeCell ref="G64:G65"/>
    <mergeCell ref="H64:H65"/>
    <mergeCell ref="N90:N91"/>
    <mergeCell ref="O90:O91"/>
    <mergeCell ref="N74:N75"/>
    <mergeCell ref="O74:O75"/>
    <mergeCell ref="I59:I60"/>
    <mergeCell ref="J59:J60"/>
    <mergeCell ref="K59:K60"/>
    <mergeCell ref="L59:L60"/>
    <mergeCell ref="M59:M60"/>
    <mergeCell ref="N59:N60"/>
    <mergeCell ref="O59:O60"/>
    <mergeCell ref="B63:M63"/>
    <mergeCell ref="B73:M73"/>
    <mergeCell ref="B74:B75"/>
    <mergeCell ref="C74:C75"/>
    <mergeCell ref="D74:D75"/>
    <mergeCell ref="E74:F74"/>
    <mergeCell ref="G74:G75"/>
    <mergeCell ref="H74:H75"/>
    <mergeCell ref="I74:I75"/>
    <mergeCell ref="J74:J75"/>
    <mergeCell ref="K74:K75"/>
    <mergeCell ref="L74:L75"/>
    <mergeCell ref="M74:M75"/>
    <mergeCell ref="B89:M89"/>
    <mergeCell ref="B90:B91"/>
    <mergeCell ref="C90:C91"/>
    <mergeCell ref="D90:D91"/>
    <mergeCell ref="E90:F90"/>
    <mergeCell ref="G90:G91"/>
    <mergeCell ref="H90:H91"/>
    <mergeCell ref="I90:I91"/>
    <mergeCell ref="J90:J91"/>
    <mergeCell ref="K90:K91"/>
    <mergeCell ref="L90:L91"/>
    <mergeCell ref="M90:M91"/>
    <mergeCell ref="N80:N81"/>
    <mergeCell ref="O80:O81"/>
    <mergeCell ref="B84:M84"/>
    <mergeCell ref="B85:B86"/>
    <mergeCell ref="C85:C86"/>
    <mergeCell ref="D85:D86"/>
    <mergeCell ref="E85:F85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B79:M79"/>
    <mergeCell ref="B80:B81"/>
    <mergeCell ref="C80:C81"/>
    <mergeCell ref="D80:D81"/>
    <mergeCell ref="E80:F80"/>
    <mergeCell ref="G80:G81"/>
    <mergeCell ref="H80:H81"/>
    <mergeCell ref="I80:I81"/>
    <mergeCell ref="J80:J81"/>
    <mergeCell ref="K80:K81"/>
    <mergeCell ref="L80:L81"/>
    <mergeCell ref="M80:M81"/>
  </mergeCells>
  <pageMargins left="0.25" right="0.25" top="0.75" bottom="0.75" header="0.3" footer="0.3"/>
  <pageSetup scale="54" fitToHeight="0" orientation="portrait" r:id="rId1"/>
  <rowBreaks count="1" manualBreakCount="1">
    <brk id="72" min="1" max="14" man="1"/>
  </rowBreaks>
  <colBreaks count="1" manualBreakCount="1">
    <brk id="15" max="18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6ED0-4341-42A9-BD44-D1EC6C8BA9CB}">
  <sheetPr>
    <pageSetUpPr fitToPage="1"/>
  </sheetPr>
  <dimension ref="B2:Q48"/>
  <sheetViews>
    <sheetView view="pageBreakPreview" zoomScaleNormal="85" zoomScaleSheetLayoutView="100" workbookViewId="0">
      <selection activeCell="K39" sqref="K39"/>
    </sheetView>
  </sheetViews>
  <sheetFormatPr defaultColWidth="23.5703125" defaultRowHeight="15" x14ac:dyDescent="0.25"/>
  <cols>
    <col min="2" max="2" width="19.42578125" style="48" customWidth="1"/>
    <col min="3" max="3" width="14.5703125" customWidth="1"/>
    <col min="4" max="4" width="35" customWidth="1"/>
    <col min="5" max="5" width="14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49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50" t="s">
        <v>42</v>
      </c>
      <c r="C4" s="106" t="s">
        <v>43</v>
      </c>
      <c r="D4" s="106"/>
      <c r="E4" s="32"/>
      <c r="O4" s="18"/>
    </row>
    <row r="5" spans="2:15" ht="20.25" x14ac:dyDescent="0.3">
      <c r="B5" s="50" t="s">
        <v>54</v>
      </c>
      <c r="C5" s="38"/>
      <c r="D5" s="38"/>
      <c r="E5" s="32"/>
      <c r="O5" s="18"/>
    </row>
    <row r="6" spans="2:15" ht="20.25" x14ac:dyDescent="0.3">
      <c r="B6" s="50" t="s">
        <v>46</v>
      </c>
      <c r="C6" s="38"/>
      <c r="D6" s="38"/>
      <c r="E6" s="75">
        <f>Q45</f>
        <v>26.583333333333332</v>
      </c>
      <c r="O6" s="18"/>
    </row>
    <row r="7" spans="2:15" ht="21" thickBot="1" x14ac:dyDescent="0.35">
      <c r="B7" s="51" t="s">
        <v>30</v>
      </c>
      <c r="C7" s="40"/>
      <c r="D7" s="40"/>
      <c r="E7" s="74">
        <f>Q45</f>
        <v>26.583333333333332</v>
      </c>
      <c r="O7" s="18"/>
    </row>
    <row r="8" spans="2:15" x14ac:dyDescent="0.25">
      <c r="B8" s="52"/>
      <c r="O8" s="18"/>
    </row>
    <row r="9" spans="2:15" x14ac:dyDescent="0.25">
      <c r="B9" s="52"/>
      <c r="O9" s="18"/>
    </row>
    <row r="10" spans="2:15" ht="61.5" x14ac:dyDescent="0.25">
      <c r="B10" s="96" t="s">
        <v>47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8"/>
    </row>
    <row r="11" spans="2:15" ht="15.75" x14ac:dyDescent="0.25">
      <c r="B11" s="76" t="s">
        <v>54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1"/>
      <c r="O11" s="20"/>
    </row>
    <row r="12" spans="2:15" x14ac:dyDescent="0.25">
      <c r="B12" s="107" t="s">
        <v>1</v>
      </c>
      <c r="C12" s="85" t="s">
        <v>2</v>
      </c>
      <c r="D12" s="85" t="s">
        <v>3</v>
      </c>
      <c r="E12" s="89" t="s">
        <v>4</v>
      </c>
      <c r="F12" s="90"/>
      <c r="G12" s="87" t="s">
        <v>5</v>
      </c>
      <c r="H12" s="83" t="s">
        <v>6</v>
      </c>
      <c r="I12" s="87" t="s">
        <v>7</v>
      </c>
      <c r="J12" s="87" t="s">
        <v>8</v>
      </c>
      <c r="K12" s="85" t="s">
        <v>9</v>
      </c>
      <c r="L12" s="85" t="s">
        <v>10</v>
      </c>
      <c r="M12" s="83" t="s">
        <v>11</v>
      </c>
      <c r="N12" s="83" t="s">
        <v>12</v>
      </c>
      <c r="O12" s="81" t="s">
        <v>13</v>
      </c>
    </row>
    <row r="13" spans="2:15" x14ac:dyDescent="0.25">
      <c r="B13" s="108"/>
      <c r="C13" s="86"/>
      <c r="D13" s="86"/>
      <c r="E13" s="2" t="s">
        <v>14</v>
      </c>
      <c r="F13" s="2" t="s">
        <v>15</v>
      </c>
      <c r="G13" s="88"/>
      <c r="H13" s="84"/>
      <c r="I13" s="88"/>
      <c r="J13" s="88"/>
      <c r="K13" s="86"/>
      <c r="L13" s="86"/>
      <c r="M13" s="84"/>
      <c r="N13" s="84"/>
      <c r="O13" s="82"/>
    </row>
    <row r="14" spans="2:15" x14ac:dyDescent="0.25">
      <c r="B14" s="53">
        <v>46014</v>
      </c>
      <c r="C14" s="3" t="s">
        <v>53</v>
      </c>
      <c r="D14" s="4" t="s">
        <v>38</v>
      </c>
      <c r="E14" s="5">
        <v>4</v>
      </c>
      <c r="F14" s="5">
        <v>0</v>
      </c>
      <c r="G14" s="6" t="s">
        <v>26</v>
      </c>
      <c r="H14" s="5" t="s">
        <v>16</v>
      </c>
      <c r="I14" s="5" t="s">
        <v>16</v>
      </c>
      <c r="J14" s="7" t="s">
        <v>17</v>
      </c>
      <c r="K14" s="14">
        <v>9.75</v>
      </c>
      <c r="L14" s="14">
        <v>10.875</v>
      </c>
      <c r="M14" s="33" t="s">
        <v>18</v>
      </c>
      <c r="N14" s="15">
        <f>(L1006-K1006)-TIME(9,0,0)</f>
        <v>-0.375</v>
      </c>
      <c r="O14" s="22">
        <f>L14-K14</f>
        <v>1.125</v>
      </c>
    </row>
    <row r="15" spans="2:15" ht="15.75" thickBot="1" x14ac:dyDescent="0.3">
      <c r="B15" s="53">
        <v>46014</v>
      </c>
      <c r="C15" s="3" t="s">
        <v>53</v>
      </c>
      <c r="D15" s="4" t="s">
        <v>38</v>
      </c>
      <c r="E15" s="24">
        <v>0</v>
      </c>
      <c r="F15" s="24">
        <v>0</v>
      </c>
      <c r="G15" s="25" t="s">
        <v>20</v>
      </c>
      <c r="H15" s="24" t="s">
        <v>16</v>
      </c>
      <c r="I15" s="24" t="s">
        <v>16</v>
      </c>
      <c r="J15" s="26"/>
      <c r="K15" s="27"/>
      <c r="L15" s="27"/>
      <c r="M15" s="34" t="s">
        <v>19</v>
      </c>
      <c r="N15" s="29"/>
      <c r="O15" s="30"/>
    </row>
    <row r="16" spans="2:15" ht="15.75" x14ac:dyDescent="0.25">
      <c r="B16" s="76" t="s">
        <v>54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1"/>
      <c r="O16" s="20"/>
    </row>
    <row r="17" spans="2:15" x14ac:dyDescent="0.25">
      <c r="B17" s="107" t="s">
        <v>1</v>
      </c>
      <c r="C17" s="85" t="s">
        <v>2</v>
      </c>
      <c r="D17" s="85" t="s">
        <v>3</v>
      </c>
      <c r="E17" s="89" t="s">
        <v>4</v>
      </c>
      <c r="F17" s="90"/>
      <c r="G17" s="87" t="s">
        <v>5</v>
      </c>
      <c r="H17" s="83" t="s">
        <v>6</v>
      </c>
      <c r="I17" s="87" t="s">
        <v>7</v>
      </c>
      <c r="J17" s="87" t="s">
        <v>8</v>
      </c>
      <c r="K17" s="85" t="s">
        <v>9</v>
      </c>
      <c r="L17" s="85" t="s">
        <v>10</v>
      </c>
      <c r="M17" s="83" t="s">
        <v>11</v>
      </c>
      <c r="N17" s="83" t="s">
        <v>12</v>
      </c>
      <c r="O17" s="81" t="s">
        <v>13</v>
      </c>
    </row>
    <row r="18" spans="2:15" x14ac:dyDescent="0.25">
      <c r="B18" s="108"/>
      <c r="C18" s="86"/>
      <c r="D18" s="86"/>
      <c r="E18" s="2" t="s">
        <v>14</v>
      </c>
      <c r="F18" s="2" t="s">
        <v>15</v>
      </c>
      <c r="G18" s="88"/>
      <c r="H18" s="84"/>
      <c r="I18" s="88"/>
      <c r="J18" s="88"/>
      <c r="K18" s="86"/>
      <c r="L18" s="86"/>
      <c r="M18" s="84"/>
      <c r="N18" s="84"/>
      <c r="O18" s="82"/>
    </row>
    <row r="19" spans="2:15" x14ac:dyDescent="0.25">
      <c r="B19" s="53">
        <v>46015</v>
      </c>
      <c r="C19" s="3" t="s">
        <v>53</v>
      </c>
      <c r="D19" s="4" t="s">
        <v>38</v>
      </c>
      <c r="E19" s="5">
        <v>5</v>
      </c>
      <c r="F19" s="5">
        <v>0</v>
      </c>
      <c r="G19" s="6" t="s">
        <v>26</v>
      </c>
      <c r="H19" s="5" t="s">
        <v>16</v>
      </c>
      <c r="I19" s="5" t="s">
        <v>16</v>
      </c>
      <c r="J19" s="7" t="s">
        <v>17</v>
      </c>
      <c r="K19" s="14">
        <v>9.75</v>
      </c>
      <c r="L19" s="14">
        <v>10.958333333333334</v>
      </c>
      <c r="M19" s="33" t="s">
        <v>27</v>
      </c>
      <c r="N19" s="15">
        <f>(L1011-K1011)-TIME(9,0,0)</f>
        <v>-0.375</v>
      </c>
      <c r="O19" s="22">
        <f>L19-K19</f>
        <v>1.2083333333333339</v>
      </c>
    </row>
    <row r="20" spans="2:15" ht="15.75" thickBot="1" x14ac:dyDescent="0.3">
      <c r="B20" s="53">
        <v>46015</v>
      </c>
      <c r="C20" s="3" t="s">
        <v>53</v>
      </c>
      <c r="D20" s="4" t="s">
        <v>38</v>
      </c>
      <c r="E20" s="24">
        <v>0</v>
      </c>
      <c r="F20" s="24">
        <v>0</v>
      </c>
      <c r="G20" s="25" t="s">
        <v>20</v>
      </c>
      <c r="H20" s="24" t="s">
        <v>16</v>
      </c>
      <c r="I20" s="24" t="s">
        <v>16</v>
      </c>
      <c r="J20" s="26"/>
      <c r="K20" s="27"/>
      <c r="L20" s="27"/>
      <c r="M20" s="34" t="s">
        <v>19</v>
      </c>
      <c r="N20" s="29"/>
      <c r="O20" s="30"/>
    </row>
    <row r="21" spans="2:15" ht="15.75" x14ac:dyDescent="0.25">
      <c r="B21" s="76" t="s">
        <v>54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1"/>
      <c r="O21" s="20"/>
    </row>
    <row r="22" spans="2:15" x14ac:dyDescent="0.25">
      <c r="B22" s="107" t="s">
        <v>1</v>
      </c>
      <c r="C22" s="85" t="s">
        <v>2</v>
      </c>
      <c r="D22" s="85" t="s">
        <v>3</v>
      </c>
      <c r="E22" s="89" t="s">
        <v>4</v>
      </c>
      <c r="F22" s="90"/>
      <c r="G22" s="87" t="s">
        <v>5</v>
      </c>
      <c r="H22" s="83" t="s">
        <v>6</v>
      </c>
      <c r="I22" s="87" t="s">
        <v>7</v>
      </c>
      <c r="J22" s="87" t="s">
        <v>8</v>
      </c>
      <c r="K22" s="85" t="s">
        <v>9</v>
      </c>
      <c r="L22" s="85" t="s">
        <v>10</v>
      </c>
      <c r="M22" s="83" t="s">
        <v>11</v>
      </c>
      <c r="N22" s="83" t="s">
        <v>12</v>
      </c>
      <c r="O22" s="81" t="s">
        <v>13</v>
      </c>
    </row>
    <row r="23" spans="2:15" x14ac:dyDescent="0.25">
      <c r="B23" s="108"/>
      <c r="C23" s="86"/>
      <c r="D23" s="86"/>
      <c r="E23" s="2" t="s">
        <v>14</v>
      </c>
      <c r="F23" s="2" t="s">
        <v>15</v>
      </c>
      <c r="G23" s="88"/>
      <c r="H23" s="84"/>
      <c r="I23" s="88"/>
      <c r="J23" s="88"/>
      <c r="K23" s="86"/>
      <c r="L23" s="86"/>
      <c r="M23" s="84"/>
      <c r="N23" s="84"/>
      <c r="O23" s="82"/>
    </row>
    <row r="24" spans="2:15" x14ac:dyDescent="0.25">
      <c r="B24" s="53">
        <v>46018</v>
      </c>
      <c r="C24" s="3" t="s">
        <v>53</v>
      </c>
      <c r="D24" s="4" t="s">
        <v>38</v>
      </c>
      <c r="E24" s="5">
        <v>3</v>
      </c>
      <c r="F24" s="5">
        <v>25</v>
      </c>
      <c r="G24" s="6" t="s">
        <v>26</v>
      </c>
      <c r="H24" s="5" t="s">
        <v>16</v>
      </c>
      <c r="I24" s="5" t="s">
        <v>16</v>
      </c>
      <c r="J24" s="7" t="s">
        <v>17</v>
      </c>
      <c r="K24" s="14">
        <v>9.8159722222222214</v>
      </c>
      <c r="L24" s="14">
        <v>10.958333333333334</v>
      </c>
      <c r="M24" s="33" t="s">
        <v>22</v>
      </c>
      <c r="N24" s="15">
        <f>(L1016-K1016)-TIME(9,0,0)</f>
        <v>-0.375</v>
      </c>
      <c r="O24" s="22">
        <f>L24-K24</f>
        <v>1.1423611111111125</v>
      </c>
    </row>
    <row r="25" spans="2:15" ht="15.75" thickBot="1" x14ac:dyDescent="0.3">
      <c r="B25" s="53">
        <v>46018</v>
      </c>
      <c r="C25" s="3" t="s">
        <v>53</v>
      </c>
      <c r="D25" s="4" t="s">
        <v>38</v>
      </c>
      <c r="E25" s="24">
        <v>0</v>
      </c>
      <c r="F25" s="24">
        <v>0</v>
      </c>
      <c r="G25" s="25" t="s">
        <v>20</v>
      </c>
      <c r="H25" s="24" t="s">
        <v>16</v>
      </c>
      <c r="I25" s="24" t="s">
        <v>16</v>
      </c>
      <c r="J25" s="26"/>
      <c r="K25" s="27"/>
      <c r="L25" s="27"/>
      <c r="M25" s="34" t="s">
        <v>19</v>
      </c>
      <c r="N25" s="29"/>
      <c r="O25" s="30"/>
    </row>
    <row r="26" spans="2:15" ht="15.75" x14ac:dyDescent="0.25">
      <c r="B26" s="76" t="s">
        <v>54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1"/>
      <c r="O26" s="20"/>
    </row>
    <row r="27" spans="2:15" x14ac:dyDescent="0.25">
      <c r="B27" s="107" t="s">
        <v>1</v>
      </c>
      <c r="C27" s="85" t="s">
        <v>2</v>
      </c>
      <c r="D27" s="85" t="s">
        <v>3</v>
      </c>
      <c r="E27" s="89" t="s">
        <v>4</v>
      </c>
      <c r="F27" s="90"/>
      <c r="G27" s="87" t="s">
        <v>5</v>
      </c>
      <c r="H27" s="83" t="s">
        <v>6</v>
      </c>
      <c r="I27" s="87" t="s">
        <v>7</v>
      </c>
      <c r="J27" s="87" t="s">
        <v>8</v>
      </c>
      <c r="K27" s="85" t="s">
        <v>9</v>
      </c>
      <c r="L27" s="85" t="s">
        <v>10</v>
      </c>
      <c r="M27" s="83" t="s">
        <v>11</v>
      </c>
      <c r="N27" s="83" t="s">
        <v>12</v>
      </c>
      <c r="O27" s="81" t="s">
        <v>13</v>
      </c>
    </row>
    <row r="28" spans="2:15" x14ac:dyDescent="0.25">
      <c r="B28" s="108"/>
      <c r="C28" s="86"/>
      <c r="D28" s="86"/>
      <c r="E28" s="2" t="s">
        <v>14</v>
      </c>
      <c r="F28" s="2" t="s">
        <v>15</v>
      </c>
      <c r="G28" s="88"/>
      <c r="H28" s="84"/>
      <c r="I28" s="88"/>
      <c r="J28" s="88"/>
      <c r="K28" s="86"/>
      <c r="L28" s="86"/>
      <c r="M28" s="84"/>
      <c r="N28" s="84"/>
      <c r="O28" s="82"/>
    </row>
    <row r="29" spans="2:15" x14ac:dyDescent="0.25">
      <c r="B29" s="53">
        <v>46018</v>
      </c>
      <c r="C29" s="3" t="s">
        <v>53</v>
      </c>
      <c r="D29" s="4" t="s">
        <v>38</v>
      </c>
      <c r="E29" s="5">
        <v>3</v>
      </c>
      <c r="F29" s="5">
        <v>25</v>
      </c>
      <c r="G29" s="6" t="s">
        <v>26</v>
      </c>
      <c r="H29" s="5" t="s">
        <v>16</v>
      </c>
      <c r="I29" s="5" t="s">
        <v>16</v>
      </c>
      <c r="J29" s="7" t="s">
        <v>17</v>
      </c>
      <c r="K29" s="14">
        <v>9.8159722222222214</v>
      </c>
      <c r="L29" s="14">
        <v>10.958333333333334</v>
      </c>
      <c r="M29" s="33" t="s">
        <v>22</v>
      </c>
      <c r="N29" s="15">
        <f>(L1021-K1021)-TIME(9,0,0)</f>
        <v>-0.375</v>
      </c>
      <c r="O29" s="22">
        <f>L29-K29</f>
        <v>1.1423611111111125</v>
      </c>
    </row>
    <row r="30" spans="2:15" ht="15.75" thickBot="1" x14ac:dyDescent="0.3">
      <c r="B30" s="53">
        <v>46018</v>
      </c>
      <c r="C30" s="3" t="s">
        <v>53</v>
      </c>
      <c r="D30" s="4" t="s">
        <v>38</v>
      </c>
      <c r="E30" s="24">
        <v>0</v>
      </c>
      <c r="F30" s="24">
        <v>0</v>
      </c>
      <c r="G30" s="25" t="s">
        <v>20</v>
      </c>
      <c r="H30" s="24" t="s">
        <v>16</v>
      </c>
      <c r="I30" s="24" t="s">
        <v>16</v>
      </c>
      <c r="J30" s="26"/>
      <c r="K30" s="27"/>
      <c r="L30" s="27"/>
      <c r="M30" s="34" t="s">
        <v>19</v>
      </c>
      <c r="N30" s="29"/>
      <c r="O30" s="30"/>
    </row>
    <row r="31" spans="2:15" ht="15.75" x14ac:dyDescent="0.25">
      <c r="B31" s="76" t="s">
        <v>54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1"/>
      <c r="O31" s="20"/>
    </row>
    <row r="32" spans="2:15" x14ac:dyDescent="0.25">
      <c r="B32" s="107" t="s">
        <v>1</v>
      </c>
      <c r="C32" s="85" t="s">
        <v>2</v>
      </c>
      <c r="D32" s="85" t="s">
        <v>3</v>
      </c>
      <c r="E32" s="89" t="s">
        <v>4</v>
      </c>
      <c r="F32" s="90"/>
      <c r="G32" s="87" t="s">
        <v>5</v>
      </c>
      <c r="H32" s="83" t="s">
        <v>6</v>
      </c>
      <c r="I32" s="87" t="s">
        <v>7</v>
      </c>
      <c r="J32" s="87" t="s">
        <v>8</v>
      </c>
      <c r="K32" s="85" t="s">
        <v>9</v>
      </c>
      <c r="L32" s="85" t="s">
        <v>10</v>
      </c>
      <c r="M32" s="83" t="s">
        <v>11</v>
      </c>
      <c r="N32" s="83" t="s">
        <v>12</v>
      </c>
      <c r="O32" s="81" t="s">
        <v>13</v>
      </c>
    </row>
    <row r="33" spans="2:17" x14ac:dyDescent="0.25">
      <c r="B33" s="108"/>
      <c r="C33" s="86"/>
      <c r="D33" s="86"/>
      <c r="E33" s="2" t="s">
        <v>14</v>
      </c>
      <c r="F33" s="2" t="s">
        <v>15</v>
      </c>
      <c r="G33" s="88"/>
      <c r="H33" s="84"/>
      <c r="I33" s="88"/>
      <c r="J33" s="88"/>
      <c r="K33" s="86"/>
      <c r="L33" s="86"/>
      <c r="M33" s="84"/>
      <c r="N33" s="84"/>
      <c r="O33" s="82"/>
    </row>
    <row r="34" spans="2:17" x14ac:dyDescent="0.25">
      <c r="B34" s="53">
        <v>46020</v>
      </c>
      <c r="C34" s="3" t="s">
        <v>53</v>
      </c>
      <c r="D34" s="4" t="s">
        <v>38</v>
      </c>
      <c r="E34" s="5">
        <v>3</v>
      </c>
      <c r="F34" s="5">
        <v>30</v>
      </c>
      <c r="G34" s="6" t="s">
        <v>26</v>
      </c>
      <c r="H34" s="5" t="s">
        <v>16</v>
      </c>
      <c r="I34" s="5" t="s">
        <v>16</v>
      </c>
      <c r="J34" s="7" t="s">
        <v>17</v>
      </c>
      <c r="K34" s="14">
        <v>9.7291666666666661</v>
      </c>
      <c r="L34" s="14">
        <v>10.875</v>
      </c>
      <c r="M34" s="33" t="s">
        <v>24</v>
      </c>
      <c r="N34" s="15">
        <f>(L1026-K1026)-TIME(9,0,0)</f>
        <v>-0.375</v>
      </c>
      <c r="O34" s="22">
        <f>L34-K34</f>
        <v>1.1458333333333339</v>
      </c>
    </row>
    <row r="35" spans="2:17" ht="15.75" thickBot="1" x14ac:dyDescent="0.3">
      <c r="B35" s="53">
        <v>46020</v>
      </c>
      <c r="C35" s="3" t="s">
        <v>53</v>
      </c>
      <c r="D35" s="4" t="s">
        <v>38</v>
      </c>
      <c r="E35" s="24">
        <v>0</v>
      </c>
      <c r="F35" s="24">
        <v>0</v>
      </c>
      <c r="G35" s="25" t="s">
        <v>20</v>
      </c>
      <c r="H35" s="24" t="s">
        <v>16</v>
      </c>
      <c r="I35" s="24" t="s">
        <v>16</v>
      </c>
      <c r="J35" s="26"/>
      <c r="K35" s="27"/>
      <c r="L35" s="27"/>
      <c r="M35" s="34" t="s">
        <v>19</v>
      </c>
      <c r="N35" s="29"/>
      <c r="O35" s="30"/>
    </row>
    <row r="36" spans="2:17" ht="15.75" x14ac:dyDescent="0.25">
      <c r="B36" s="76" t="s">
        <v>54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1"/>
      <c r="O36" s="20"/>
    </row>
    <row r="37" spans="2:17" x14ac:dyDescent="0.25">
      <c r="B37" s="107" t="s">
        <v>1</v>
      </c>
      <c r="C37" s="85" t="s">
        <v>2</v>
      </c>
      <c r="D37" s="85" t="s">
        <v>3</v>
      </c>
      <c r="E37" s="89" t="s">
        <v>4</v>
      </c>
      <c r="F37" s="90"/>
      <c r="G37" s="87" t="s">
        <v>5</v>
      </c>
      <c r="H37" s="83" t="s">
        <v>6</v>
      </c>
      <c r="I37" s="87" t="s">
        <v>7</v>
      </c>
      <c r="J37" s="87" t="s">
        <v>8</v>
      </c>
      <c r="K37" s="85" t="s">
        <v>9</v>
      </c>
      <c r="L37" s="85" t="s">
        <v>10</v>
      </c>
      <c r="M37" s="83" t="s">
        <v>11</v>
      </c>
      <c r="N37" s="83" t="s">
        <v>12</v>
      </c>
      <c r="O37" s="81" t="s">
        <v>13</v>
      </c>
    </row>
    <row r="38" spans="2:17" x14ac:dyDescent="0.25">
      <c r="B38" s="108"/>
      <c r="C38" s="86"/>
      <c r="D38" s="86"/>
      <c r="E38" s="2" t="s">
        <v>14</v>
      </c>
      <c r="F38" s="2" t="s">
        <v>15</v>
      </c>
      <c r="G38" s="88"/>
      <c r="H38" s="84"/>
      <c r="I38" s="88"/>
      <c r="J38" s="88"/>
      <c r="K38" s="86"/>
      <c r="L38" s="86"/>
      <c r="M38" s="84"/>
      <c r="N38" s="84"/>
      <c r="O38" s="82"/>
    </row>
    <row r="39" spans="2:17" x14ac:dyDescent="0.25">
      <c r="B39" s="53">
        <v>46021</v>
      </c>
      <c r="C39" s="3" t="s">
        <v>53</v>
      </c>
      <c r="D39" s="4" t="s">
        <v>38</v>
      </c>
      <c r="E39" s="5">
        <v>3</v>
      </c>
      <c r="F39" s="5">
        <v>30</v>
      </c>
      <c r="G39" s="6" t="s">
        <v>26</v>
      </c>
      <c r="H39" s="5" t="s">
        <v>16</v>
      </c>
      <c r="I39" s="5" t="s">
        <v>16</v>
      </c>
      <c r="J39" s="7" t="s">
        <v>17</v>
      </c>
      <c r="K39" s="14">
        <v>9.7291666666666661</v>
      </c>
      <c r="L39" s="14">
        <v>10.875</v>
      </c>
      <c r="M39" s="33" t="s">
        <v>18</v>
      </c>
      <c r="N39" s="15">
        <f>(L1031-K1031)-TIME(9,0,0)</f>
        <v>-0.375</v>
      </c>
      <c r="O39" s="22">
        <f>L39-K39</f>
        <v>1.1458333333333339</v>
      </c>
    </row>
    <row r="40" spans="2:17" ht="15.75" thickBot="1" x14ac:dyDescent="0.3">
      <c r="B40" s="53">
        <v>46021</v>
      </c>
      <c r="C40" s="3" t="s">
        <v>53</v>
      </c>
      <c r="D40" s="4" t="s">
        <v>38</v>
      </c>
      <c r="E40" s="24">
        <v>0</v>
      </c>
      <c r="F40" s="24">
        <v>0</v>
      </c>
      <c r="G40" s="25" t="s">
        <v>20</v>
      </c>
      <c r="H40" s="24" t="s">
        <v>16</v>
      </c>
      <c r="I40" s="24" t="s">
        <v>16</v>
      </c>
      <c r="J40" s="26"/>
      <c r="K40" s="27"/>
      <c r="L40" s="27"/>
      <c r="M40" s="34" t="s">
        <v>19</v>
      </c>
      <c r="N40" s="29"/>
      <c r="O40" s="30"/>
    </row>
    <row r="41" spans="2:17" ht="15.75" x14ac:dyDescent="0.25">
      <c r="B41" s="76" t="s">
        <v>54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1"/>
      <c r="O41" s="20"/>
    </row>
    <row r="42" spans="2:17" x14ac:dyDescent="0.25">
      <c r="B42" s="107" t="s">
        <v>1</v>
      </c>
      <c r="C42" s="85" t="s">
        <v>2</v>
      </c>
      <c r="D42" s="85" t="s">
        <v>3</v>
      </c>
      <c r="E42" s="89" t="s">
        <v>4</v>
      </c>
      <c r="F42" s="90"/>
      <c r="G42" s="87" t="s">
        <v>5</v>
      </c>
      <c r="H42" s="83" t="s">
        <v>6</v>
      </c>
      <c r="I42" s="87" t="s">
        <v>7</v>
      </c>
      <c r="J42" s="87" t="s">
        <v>8</v>
      </c>
      <c r="K42" s="85" t="s">
        <v>9</v>
      </c>
      <c r="L42" s="85" t="s">
        <v>10</v>
      </c>
      <c r="M42" s="83" t="s">
        <v>11</v>
      </c>
      <c r="N42" s="83" t="s">
        <v>12</v>
      </c>
      <c r="O42" s="81" t="s">
        <v>13</v>
      </c>
      <c r="P42" s="2" t="s">
        <v>14</v>
      </c>
      <c r="Q42" s="2" t="s">
        <v>15</v>
      </c>
    </row>
    <row r="43" spans="2:17" x14ac:dyDescent="0.25">
      <c r="B43" s="108"/>
      <c r="C43" s="86"/>
      <c r="D43" s="86"/>
      <c r="E43" s="2" t="s">
        <v>14</v>
      </c>
      <c r="F43" s="2" t="s">
        <v>15</v>
      </c>
      <c r="G43" s="88"/>
      <c r="H43" s="84"/>
      <c r="I43" s="88"/>
      <c r="J43" s="88"/>
      <c r="K43" s="86"/>
      <c r="L43" s="86"/>
      <c r="M43" s="84"/>
      <c r="N43" s="84"/>
      <c r="O43" s="82"/>
      <c r="P43" s="45">
        <f>SUM(E44:E45,E39:E40,E34:E35,E29:E30,E24:E25,E19:E20,E14:E15)</f>
        <v>24</v>
      </c>
      <c r="Q43" s="45">
        <f>SUM(F44:F45,F39:F40,F34:F35,F29:F30,F24:F25,F19:F20,F14:F15)</f>
        <v>155</v>
      </c>
    </row>
    <row r="44" spans="2:17" x14ac:dyDescent="0.25">
      <c r="B44" s="53">
        <v>46022</v>
      </c>
      <c r="C44" s="3" t="s">
        <v>53</v>
      </c>
      <c r="D44" s="4" t="s">
        <v>38</v>
      </c>
      <c r="E44" s="5">
        <v>3</v>
      </c>
      <c r="F44" s="5">
        <v>45</v>
      </c>
      <c r="G44" s="6" t="s">
        <v>26</v>
      </c>
      <c r="H44" s="5" t="s">
        <v>16</v>
      </c>
      <c r="I44" s="5" t="s">
        <v>16</v>
      </c>
      <c r="J44" s="7" t="s">
        <v>17</v>
      </c>
      <c r="K44" s="14">
        <v>9.7395833333333339</v>
      </c>
      <c r="L44" s="14">
        <v>10.895833333333334</v>
      </c>
      <c r="M44" s="33" t="s">
        <v>27</v>
      </c>
      <c r="N44" s="15">
        <f>(L1036-K1036)-TIME(9,0,0)</f>
        <v>-0.375</v>
      </c>
      <c r="O44" s="22">
        <f>L44-K44</f>
        <v>1.15625</v>
      </c>
      <c r="P44" s="46"/>
      <c r="Q44" s="46">
        <f>Q43/60</f>
        <v>2.5833333333333335</v>
      </c>
    </row>
    <row r="45" spans="2:17" ht="15.75" thickBot="1" x14ac:dyDescent="0.3">
      <c r="B45" s="53">
        <v>46022</v>
      </c>
      <c r="C45" s="3" t="s">
        <v>53</v>
      </c>
      <c r="D45" s="4" t="s">
        <v>38</v>
      </c>
      <c r="E45" s="24">
        <v>0</v>
      </c>
      <c r="F45" s="24">
        <v>0</v>
      </c>
      <c r="G45" s="25" t="s">
        <v>20</v>
      </c>
      <c r="H45" s="24" t="s">
        <v>16</v>
      </c>
      <c r="I45" s="24" t="s">
        <v>16</v>
      </c>
      <c r="J45" s="26"/>
      <c r="K45" s="27"/>
      <c r="L45" s="27"/>
      <c r="M45" s="34" t="s">
        <v>19</v>
      </c>
      <c r="N45" s="29"/>
      <c r="O45" s="30"/>
      <c r="P45" s="13" t="s">
        <v>21</v>
      </c>
      <c r="Q45" s="69">
        <f>P43+Q44</f>
        <v>26.583333333333332</v>
      </c>
    </row>
    <row r="46" spans="2:17" x14ac:dyDescent="0.25">
      <c r="B46" s="54"/>
      <c r="C46" s="8"/>
      <c r="D46" s="9"/>
      <c r="E46" s="10">
        <f>SUM(E44:E45)</f>
        <v>3</v>
      </c>
      <c r="F46" s="10">
        <f>SUM(F44:F45)</f>
        <v>45</v>
      </c>
      <c r="G46" s="11"/>
      <c r="H46" s="11"/>
      <c r="I46" s="11"/>
      <c r="J46" s="11"/>
      <c r="K46" s="12"/>
      <c r="L46" s="12"/>
      <c r="M46" s="9"/>
      <c r="N46" s="9"/>
      <c r="O46" s="9"/>
    </row>
    <row r="47" spans="2:17" x14ac:dyDescent="0.25">
      <c r="B47" s="54"/>
      <c r="C47" s="8"/>
      <c r="D47" s="9"/>
      <c r="E47" s="11"/>
      <c r="F47" s="11">
        <f>F46/60</f>
        <v>0.75</v>
      </c>
      <c r="G47" s="11"/>
      <c r="H47" s="11"/>
      <c r="I47" s="11"/>
      <c r="J47" s="11"/>
      <c r="K47" s="12"/>
      <c r="L47" s="12"/>
      <c r="M47" s="9"/>
      <c r="N47" s="9"/>
      <c r="O47" s="9"/>
    </row>
    <row r="48" spans="2:17" x14ac:dyDescent="0.25">
      <c r="B48" s="54"/>
      <c r="C48" s="8"/>
      <c r="D48" s="9"/>
      <c r="E48" s="13" t="s">
        <v>21</v>
      </c>
      <c r="F48" s="13">
        <f>E46+F47</f>
        <v>3.75</v>
      </c>
      <c r="G48" s="11"/>
      <c r="H48" s="11"/>
      <c r="I48" s="11"/>
      <c r="J48" s="11"/>
      <c r="K48" s="12"/>
      <c r="L48" s="12"/>
      <c r="M48" s="9"/>
      <c r="N48" s="9"/>
      <c r="O48" s="41"/>
    </row>
  </sheetData>
  <mergeCells count="100">
    <mergeCell ref="H27:H28"/>
    <mergeCell ref="G27:G28"/>
    <mergeCell ref="E27:F27"/>
    <mergeCell ref="C4:D4"/>
    <mergeCell ref="O12:O13"/>
    <mergeCell ref="N12:N13"/>
    <mergeCell ref="M12:M13"/>
    <mergeCell ref="L12:L13"/>
    <mergeCell ref="K12:K13"/>
    <mergeCell ref="J12:J13"/>
    <mergeCell ref="I12:I13"/>
    <mergeCell ref="H12:H13"/>
    <mergeCell ref="E17:F17"/>
    <mergeCell ref="D17:D18"/>
    <mergeCell ref="C17:C18"/>
    <mergeCell ref="B17:B18"/>
    <mergeCell ref="B16:M16"/>
    <mergeCell ref="B10:O10"/>
    <mergeCell ref="O17:O18"/>
    <mergeCell ref="N17:N18"/>
    <mergeCell ref="M17:M18"/>
    <mergeCell ref="L17:L18"/>
    <mergeCell ref="K17:K18"/>
    <mergeCell ref="J17:J18"/>
    <mergeCell ref="I17:I18"/>
    <mergeCell ref="H17:H18"/>
    <mergeCell ref="G17:G18"/>
    <mergeCell ref="G12:G13"/>
    <mergeCell ref="E12:F12"/>
    <mergeCell ref="D12:D13"/>
    <mergeCell ref="C12:C13"/>
    <mergeCell ref="B12:B13"/>
    <mergeCell ref="B11:M11"/>
    <mergeCell ref="B21:M21"/>
    <mergeCell ref="J22:J23"/>
    <mergeCell ref="I22:I23"/>
    <mergeCell ref="H22:H23"/>
    <mergeCell ref="G22:G23"/>
    <mergeCell ref="E22:F22"/>
    <mergeCell ref="D22:D23"/>
    <mergeCell ref="B32:B33"/>
    <mergeCell ref="B31:M31"/>
    <mergeCell ref="O22:O23"/>
    <mergeCell ref="N22:N23"/>
    <mergeCell ref="M22:M23"/>
    <mergeCell ref="L22:L23"/>
    <mergeCell ref="K22:K23"/>
    <mergeCell ref="C22:C23"/>
    <mergeCell ref="B22:B23"/>
    <mergeCell ref="O27:O28"/>
    <mergeCell ref="N27:N28"/>
    <mergeCell ref="M27:M28"/>
    <mergeCell ref="L27:L28"/>
    <mergeCell ref="K27:K28"/>
    <mergeCell ref="J27:J28"/>
    <mergeCell ref="I27:I28"/>
    <mergeCell ref="D27:D28"/>
    <mergeCell ref="C27:C28"/>
    <mergeCell ref="B27:B28"/>
    <mergeCell ref="B26:M26"/>
    <mergeCell ref="O32:O33"/>
    <mergeCell ref="N32:N33"/>
    <mergeCell ref="M32:M33"/>
    <mergeCell ref="L32:L33"/>
    <mergeCell ref="K32:K33"/>
    <mergeCell ref="J32:J33"/>
    <mergeCell ref="I32:I33"/>
    <mergeCell ref="H32:H33"/>
    <mergeCell ref="G32:G33"/>
    <mergeCell ref="E32:F32"/>
    <mergeCell ref="D32:D33"/>
    <mergeCell ref="C32:C33"/>
    <mergeCell ref="D42:D43"/>
    <mergeCell ref="C42:C43"/>
    <mergeCell ref="B42:B43"/>
    <mergeCell ref="B41:M41"/>
    <mergeCell ref="O37:O38"/>
    <mergeCell ref="N37:N38"/>
    <mergeCell ref="M37:M38"/>
    <mergeCell ref="L37:L38"/>
    <mergeCell ref="K37:K38"/>
    <mergeCell ref="J37:J38"/>
    <mergeCell ref="I37:I38"/>
    <mergeCell ref="H37:H38"/>
    <mergeCell ref="G37:G38"/>
    <mergeCell ref="J42:J43"/>
    <mergeCell ref="I42:I43"/>
    <mergeCell ref="H42:H43"/>
    <mergeCell ref="G42:G43"/>
    <mergeCell ref="E42:F42"/>
    <mergeCell ref="O42:O43"/>
    <mergeCell ref="N42:N43"/>
    <mergeCell ref="M42:M43"/>
    <mergeCell ref="L42:L43"/>
    <mergeCell ref="K42:K43"/>
    <mergeCell ref="E37:F37"/>
    <mergeCell ref="D37:D38"/>
    <mergeCell ref="C37:C38"/>
    <mergeCell ref="B37:B38"/>
    <mergeCell ref="B36:M36"/>
  </mergeCells>
  <pageMargins left="0.7" right="0.7" top="0.75" bottom="0.75" header="0.3" footer="0.3"/>
  <pageSetup paperSize="9" scale="67" fitToHeight="0" orientation="landscape" horizontalDpi="0" verticalDpi="0" r:id="rId1"/>
  <colBreaks count="1" manualBreakCount="1">
    <brk id="15" max="3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37B0-3D89-4C1C-9D01-9814DAC24A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Parth</vt:lpstr>
      <vt:lpstr>Sheet2</vt:lpstr>
      <vt:lpstr>Paras</vt:lpstr>
      <vt:lpstr>Salil</vt:lpstr>
      <vt:lpstr>Smit</vt:lpstr>
      <vt:lpstr>Harsh</vt:lpstr>
      <vt:lpstr>Nayan</vt:lpstr>
      <vt:lpstr>Sheet1</vt:lpstr>
      <vt:lpstr>Harsh!Print_Area</vt:lpstr>
      <vt:lpstr>Nayan!Print_Area</vt:lpstr>
      <vt:lpstr>Paras!Print_Area</vt:lpstr>
      <vt:lpstr>Parth!Print_Area</vt:lpstr>
      <vt:lpstr>Salil!Print_Area</vt:lpstr>
      <vt:lpstr>Smit!Print_Area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Enquiries manager</cp:lastModifiedBy>
  <cp:lastPrinted>2026-01-05T11:46:03Z</cp:lastPrinted>
  <dcterms:created xsi:type="dcterms:W3CDTF">2025-08-21T12:44:30Z</dcterms:created>
  <dcterms:modified xsi:type="dcterms:W3CDTF">2026-01-19T13:02:46Z</dcterms:modified>
</cp:coreProperties>
</file>